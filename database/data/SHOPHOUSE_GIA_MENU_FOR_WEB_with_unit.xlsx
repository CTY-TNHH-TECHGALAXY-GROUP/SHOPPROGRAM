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_Table 1" sheetId="1" r:id="rId4"/>
  </sheets>
</workbook>
</file>

<file path=xl/sharedStrings.xml><?xml version="1.0" encoding="utf-8"?>
<sst xmlns="http://schemas.openxmlformats.org/spreadsheetml/2006/main" uniqueCount="327">
  <si>
    <t xml:space="preserve">Proposed Selling Price Master List
</t>
  </si>
  <si>
    <t>ORIA61000</t>
  </si>
  <si>
    <t>1. ĐỒ ĂN NHANH VÀ ĐỒ ĂN VẶT</t>
  </si>
  <si>
    <t>Item Name</t>
  </si>
  <si>
    <t>Unit</t>
  </si>
  <si>
    <t>Proposed Selling Price (VND)</t>
  </si>
  <si>
    <t>ORIA61001</t>
  </si>
  <si>
    <t>PHO GA DE NHAT ACE 67G</t>
  </si>
  <si>
    <t>Gói</t>
  </si>
  <si>
    <t>ORIA61002</t>
  </si>
  <si>
    <t>MI UDON SUKI SUKI NHAT BAN 75G</t>
  </si>
  <si>
    <t>ORIA61003</t>
  </si>
  <si>
    <t>MI LY XOT TUONG DEN OTOKI 70G</t>
  </si>
  <si>
    <t>LY</t>
  </si>
  <si>
    <t>ORIA61004</t>
  </si>
  <si>
    <t>MI LY SHIN NONGSHIM 68G</t>
  </si>
  <si>
    <t>ORIA61005</t>
  </si>
  <si>
    <t>MI JIN XOT TUONG DEN 135G</t>
  </si>
  <si>
    <t>Chai</t>
  </si>
  <si>
    <t>ORIA61006</t>
  </si>
  <si>
    <t>MI SHIN RAMYUN 120G</t>
  </si>
  <si>
    <t>ORIA61007</t>
  </si>
  <si>
    <t>MI LY MODERN L.THAI TOM67G</t>
  </si>
  <si>
    <t>ORIA61008</t>
  </si>
  <si>
    <t>MIEN S.HEO PHU HUONG ACE55G</t>
  </si>
  <si>
    <t>ORIA61009</t>
  </si>
  <si>
    <t>TOKPOKKI PHO MAI O FOOD 105G*3</t>
  </si>
  <si>
    <t>Hộp</t>
  </si>
  <si>
    <t>ORIA61010</t>
  </si>
  <si>
    <t>R.BIEN TRON K.GA OFOOD 30/40G</t>
  </si>
  <si>
    <t>ORIA61011</t>
  </si>
  <si>
    <t>R.BIEN TRON H.SAN OFOOD30/40G</t>
  </si>
  <si>
    <t>ORIA61012</t>
  </si>
  <si>
    <t>R.BIEN TRON NNHAN OFOOD30/40G</t>
  </si>
  <si>
    <t>ORIA61013</t>
  </si>
  <si>
    <t>L.KIM OFOOD T.DAU OLIU(6+3)*5G</t>
  </si>
  <si>
    <t>ORIA61014</t>
  </si>
  <si>
    <t>B.OREO SCL VAN 110.4/105G</t>
  </si>
  <si>
    <t>ORIA61015</t>
  </si>
  <si>
    <t>B.OREO KEM V.QUAT110.4/105G</t>
  </si>
  <si>
    <t>ORIA61016</t>
  </si>
  <si>
    <t>B.OREO SOCOLA 110.4/105G</t>
  </si>
  <si>
    <t>ORIA61017</t>
  </si>
  <si>
    <t>KHOAITAYCHIEN SLIDEORIGINAL60G</t>
  </si>
  <si>
    <t>Ống</t>
  </si>
  <si>
    <t>ORIA61018</t>
  </si>
  <si>
    <t>KTC SLIDE PHO MAI 65G/60G/75G</t>
  </si>
  <si>
    <t>ORIA61019</t>
  </si>
  <si>
    <t>KTC SLIDE HOT&amp;SPICY65G/60G/75G</t>
  </si>
  <si>
    <t>ORIA61020</t>
  </si>
  <si>
    <t>KTC SLIDE SOUR CR 65G/60G</t>
  </si>
  <si>
    <t>ORIA61021</t>
  </si>
  <si>
    <t>KTC SLIDE BBQ 65G/60G</t>
  </si>
  <si>
    <t>ORIA61022</t>
  </si>
  <si>
    <t>B.QUE MIX VI TTHONG 150G</t>
  </si>
  <si>
    <t>ORIA61023</t>
  </si>
  <si>
    <t>B.QUE MIX GA CAY 25/20G*12</t>
  </si>
  <si>
    <t>ORIA61024</t>
  </si>
  <si>
    <r>
      <rPr>
        <b val="1"/>
        <sz val="12"/>
        <color indexed="8"/>
        <rFont val="Arial"/>
      </rPr>
      <t>B.QUE DO BACON STICK 20G</t>
    </r>
    <r>
      <rPr>
        <b val="1"/>
        <i val="1"/>
        <sz val="12"/>
        <color indexed="8"/>
        <rFont val="Arial"/>
      </rPr>
      <t>13</t>
    </r>
    <r>
      <rPr>
        <b val="1"/>
        <sz val="12"/>
        <color indexed="8"/>
        <rFont val="Arial"/>
      </rPr>
      <t>1</t>
    </r>
  </si>
  <si>
    <t>ORIA61025</t>
  </si>
  <si>
    <r>
      <rPr>
        <b val="1"/>
        <sz val="12"/>
        <color indexed="8"/>
        <rFont val="Arial"/>
      </rPr>
      <t>B.QUE CAM BACON STICK 20G</t>
    </r>
    <r>
      <rPr>
        <b val="1"/>
        <i val="1"/>
        <sz val="12"/>
        <color indexed="8"/>
        <rFont val="Arial"/>
      </rPr>
      <t>13</t>
    </r>
    <r>
      <rPr>
        <b val="1"/>
        <sz val="12"/>
        <color indexed="8"/>
        <rFont val="Arial"/>
      </rPr>
      <t>1</t>
    </r>
  </si>
  <si>
    <t>ORIA61026</t>
  </si>
  <si>
    <t>SNACK TOM RUAY PUAN 20G*12GOI</t>
  </si>
  <si>
    <t>ORIA61027</t>
  </si>
  <si>
    <t>SNACK TOM V.THINH HANAMI 110G</t>
  </si>
  <si>
    <t>Lon</t>
  </si>
  <si>
    <t>ORIA61028</t>
  </si>
  <si>
    <t>BANH TRANG TAN NHIEN OCOP 250G</t>
  </si>
  <si>
    <t>ORIA61029</t>
  </si>
  <si>
    <t>BANH CHOCOPIEORION 36.3G*12GOI</t>
  </si>
  <si>
    <t>ORIA61030</t>
  </si>
  <si>
    <t>ORION CUSTAS G.DUONG 23.5G*12</t>
  </si>
  <si>
    <t>ORIA61031</t>
  </si>
  <si>
    <t>G.XYLITOL SP COOL 55.1G*6</t>
  </si>
  <si>
    <t>ORIA61032</t>
  </si>
  <si>
    <t>KEO THE VIDUAHAU PLAYMORE22G*1</t>
  </si>
  <si>
    <t>ORIA61033</t>
  </si>
  <si>
    <t>KEO PLAYMORE DAU TAY 22G_COC</t>
  </si>
  <si>
    <t>ORIA62000</t>
  </si>
  <si>
    <r>
      <rPr>
        <b val="1"/>
        <sz val="14"/>
        <color indexed="8"/>
        <rFont val="Arial"/>
      </rPr>
      <t xml:space="preserve">2. THỨC UỐNG, SỮA, NGŨ CỐC
</t>
    </r>
  </si>
  <si>
    <t>ORIA62001</t>
  </si>
  <si>
    <t>ORIA62002</t>
  </si>
  <si>
    <t>N.T.KHIET DASANI 350ML*1CH</t>
  </si>
  <si>
    <t>ORIA62003</t>
  </si>
  <si>
    <t>NTT AQUARIUS K.CALO 390ML*1</t>
  </si>
  <si>
    <t>ORIA62004</t>
  </si>
  <si>
    <r>
      <rPr>
        <b val="1"/>
        <sz val="12"/>
        <color indexed="8"/>
        <rFont val="Arial"/>
      </rPr>
      <t xml:space="preserve">NGK SPRITE SLEEK 320ML*6 </t>
    </r>
    <r>
      <rPr>
        <b val="1"/>
        <i val="1"/>
        <sz val="12"/>
        <color indexed="8"/>
        <rFont val="Arial"/>
      </rPr>
      <t>(Pack of 6)</t>
    </r>
  </si>
  <si>
    <t>ORIA62005</t>
  </si>
  <si>
    <r>
      <rPr>
        <b val="1"/>
        <sz val="12"/>
        <color indexed="8"/>
        <rFont val="Arial"/>
      </rPr>
      <t xml:space="preserve">N.N. COCA LIGHT SLEEK 320ML*6 </t>
    </r>
    <r>
      <rPr>
        <b val="1"/>
        <i val="1"/>
        <sz val="12"/>
        <color indexed="8"/>
        <rFont val="Arial"/>
      </rPr>
      <t>(Pack of 6)</t>
    </r>
  </si>
  <si>
    <t>ORIA62006</t>
  </si>
  <si>
    <r>
      <rPr>
        <b val="1"/>
        <sz val="12"/>
        <color indexed="8"/>
        <rFont val="Arial"/>
      </rPr>
      <t xml:space="preserve">NGK COCA VANI K.DUONG 320ML*6L </t>
    </r>
    <r>
      <rPr>
        <b val="1"/>
        <i val="1"/>
        <sz val="12"/>
        <color indexed="8"/>
        <rFont val="Arial"/>
      </rPr>
      <t>(Pack of 6)</t>
    </r>
  </si>
  <si>
    <t>ORIA62007</t>
  </si>
  <si>
    <r>
      <rPr>
        <b val="1"/>
        <sz val="12"/>
        <color indexed="8"/>
        <rFont val="Arial"/>
      </rPr>
      <t xml:space="preserve">NTL REDBULL THAI KEM 250ML*6L </t>
    </r>
    <r>
      <rPr>
        <b val="1"/>
        <i val="1"/>
        <sz val="12"/>
        <color indexed="8"/>
        <rFont val="Arial"/>
      </rPr>
      <t>(Pack of 6)</t>
    </r>
  </si>
  <si>
    <t>ORIA62008</t>
  </si>
  <si>
    <r>
      <rPr>
        <b val="1"/>
        <sz val="12"/>
        <color indexed="8"/>
        <rFont val="Arial"/>
      </rPr>
      <t xml:space="preserve">NUOC T.KHIETAQUAFINA355ML*24CH </t>
    </r>
    <r>
      <rPr>
        <b val="1"/>
        <i val="1"/>
        <sz val="12"/>
        <color indexed="8"/>
        <rFont val="Arial"/>
      </rPr>
      <t>(Box of 24)</t>
    </r>
  </si>
  <si>
    <t>ORIA62009</t>
  </si>
  <si>
    <r>
      <rPr>
        <b val="1"/>
        <sz val="12"/>
        <color indexed="8"/>
        <rFont val="Arial"/>
      </rPr>
      <t xml:space="preserve">BIA TIGER CRYSTAL 330ML*24LON </t>
    </r>
    <r>
      <rPr>
        <b val="1"/>
        <i val="1"/>
        <sz val="12"/>
        <color indexed="8"/>
        <rFont val="Arial"/>
      </rPr>
      <t>(Box of 24)</t>
    </r>
  </si>
  <si>
    <t>ORIA62010</t>
  </si>
  <si>
    <r>
      <rPr>
        <b val="1"/>
        <sz val="12"/>
        <color indexed="8"/>
        <rFont val="Arial"/>
      </rPr>
      <t xml:space="preserve">BIA HEINEKEN SILVER 330ML*24CA </t>
    </r>
    <r>
      <rPr>
        <b val="1"/>
        <i val="1"/>
        <sz val="12"/>
        <color indexed="8"/>
        <rFont val="Arial"/>
      </rPr>
      <t>(Box of 24)</t>
    </r>
  </si>
  <si>
    <t>ORIA62011</t>
  </si>
  <si>
    <r>
      <rPr>
        <b val="1"/>
        <sz val="12"/>
        <color indexed="8"/>
        <rFont val="Arial"/>
      </rPr>
      <t xml:space="preserve">MILO UHT 115/110ML*4HOP </t>
    </r>
    <r>
      <rPr>
        <b val="1"/>
        <i val="1"/>
        <sz val="12"/>
        <color indexed="8"/>
        <rFont val="Arial"/>
      </rPr>
      <t>(Pack of 4)</t>
    </r>
  </si>
  <si>
    <t>ORIA62012</t>
  </si>
  <si>
    <r>
      <rPr>
        <b val="1"/>
        <sz val="12"/>
        <color indexed="8"/>
        <rFont val="Arial"/>
      </rPr>
      <t xml:space="preserve">MILO UHT IT DUONG 115/110ML*4H </t>
    </r>
    <r>
      <rPr>
        <b val="1"/>
        <i val="1"/>
        <sz val="12"/>
        <color indexed="8"/>
        <rFont val="Arial"/>
      </rPr>
      <t>(Pack of 4)</t>
    </r>
  </si>
  <si>
    <t>ORIA62013</t>
  </si>
  <si>
    <r>
      <rPr>
        <b val="1"/>
        <sz val="12"/>
        <color indexed="8"/>
        <rFont val="Arial"/>
      </rPr>
      <t xml:space="preserve">MILO UHT IT DUONG 180ML*4 </t>
    </r>
    <r>
      <rPr>
        <b val="1"/>
        <i val="1"/>
        <sz val="12"/>
        <color indexed="8"/>
        <rFont val="Arial"/>
      </rPr>
      <t>(Pack of 4)</t>
    </r>
  </si>
  <si>
    <t>ORIA62014</t>
  </si>
  <si>
    <r>
      <rPr>
        <b val="1"/>
        <sz val="12"/>
        <color indexed="8"/>
        <rFont val="Arial"/>
      </rPr>
      <t xml:space="preserve">MILO UHT 180ML*8HOP </t>
    </r>
    <r>
      <rPr>
        <b val="1"/>
        <i val="1"/>
        <sz val="12"/>
        <color indexed="8"/>
        <rFont val="Arial"/>
      </rPr>
      <t>(Pack of 8)</t>
    </r>
  </si>
  <si>
    <t>ORIA62015</t>
  </si>
  <si>
    <r>
      <rPr>
        <b val="1"/>
        <sz val="12"/>
        <color indexed="8"/>
        <rFont val="Arial"/>
      </rPr>
      <t>CACAO MILO 3IN1 22G</t>
    </r>
    <r>
      <rPr>
        <b val="1"/>
        <i val="1"/>
        <sz val="12"/>
        <color indexed="8"/>
        <rFont val="Arial"/>
      </rPr>
      <t>15GOI</t>
    </r>
    <r>
      <rPr>
        <b val="1"/>
        <sz val="12"/>
        <color indexed="8"/>
        <rFont val="Arial"/>
      </rPr>
      <t>1B</t>
    </r>
  </si>
  <si>
    <t>ORIA62016</t>
  </si>
  <si>
    <t>NESCAFE 3IN1 NG.BAN 17/16G*46</t>
  </si>
  <si>
    <t>ORIA62017</t>
  </si>
  <si>
    <t>BNC NESVITA 25G*14</t>
  </si>
  <si>
    <t>ORIA62018</t>
  </si>
  <si>
    <t>NGU COC TRAI CAY CALBEE 450G</t>
  </si>
  <si>
    <t>Túi</t>
  </si>
  <si>
    <t>ORIA62019</t>
  </si>
  <si>
    <t>N.COC T.CAY CALBEE ITDUONG600G</t>
  </si>
  <si>
    <t>ORIA63000</t>
  </si>
  <si>
    <t>3. NGUYÊN LIỆU KHÔ VÀ THỰC PHẨM THIẾT YẾU TRONG BẾP</t>
  </si>
  <si>
    <t>ORIA63001</t>
  </si>
  <si>
    <t>ORIA63002</t>
  </si>
  <si>
    <t>TUONG OT CHINSU 250G*1(NAM)</t>
  </si>
  <si>
    <t>ORIA63003</t>
  </si>
  <si>
    <t>N.TUONG DAM DAC MAGGI 300ML</t>
  </si>
  <si>
    <t>ORIA63004</t>
  </si>
  <si>
    <t>SDCD ONG THO DO TUYP 165G</t>
  </si>
  <si>
    <t>Tuýp</t>
  </si>
  <si>
    <t>ORIA63005</t>
  </si>
  <si>
    <t>SUA DAC ONG THO DO HG 380G</t>
  </si>
  <si>
    <t>ORIA63006</t>
  </si>
  <si>
    <t>S.DAC VI NHUA ONG-THO DO40G*12</t>
  </si>
  <si>
    <t>ORIA63007</t>
  </si>
  <si>
    <t>XOT MAYONNAISE AJI NGOTDIU260G</t>
  </si>
  <si>
    <t>ORIA63008</t>
  </si>
  <si>
    <t>XOT MERANG KEWPIE 210ML*2</t>
  </si>
  <si>
    <t>ORIA63009</t>
  </si>
  <si>
    <t>N.MAM THANH QUOC40N60ML*6-OCOP</t>
  </si>
  <si>
    <t>ORIA63010</t>
  </si>
  <si>
    <t>CA MOI/TRICH/NUC 3 COGAI 155G*10</t>
  </si>
  <si>
    <t>ORIA63011</t>
  </si>
  <si>
    <t>BO THUC VAT MEIZAN 80G*5</t>
  </si>
  <si>
    <t>ORIA63012</t>
  </si>
  <si>
    <t>DAU NANH SIMPLY 1L</t>
  </si>
  <si>
    <t>ORIA63013</t>
  </si>
  <si>
    <t>HATNEM CHAY NAMHUONG KNORR170G</t>
  </si>
  <si>
    <t>ORIA63014</t>
  </si>
  <si>
    <t>BOT GAO TAI KY 400GR</t>
  </si>
  <si>
    <t>ORIA63015</t>
  </si>
  <si>
    <t>BOT NEP TAI KY 400GR</t>
  </si>
  <si>
    <t>ORIA63016</t>
  </si>
  <si>
    <t>BOT KHOAI TRANG DDTHUAN 200G</t>
  </si>
  <si>
    <t>ORIA63017</t>
  </si>
  <si>
    <t>BOT DAU XANH HAT SEN MM 35G</t>
  </si>
  <si>
    <t>ORIA63018</t>
  </si>
  <si>
    <t>PHO TAI DDTHUAN 100G</t>
  </si>
  <si>
    <t>ORIA63019</t>
  </si>
  <si>
    <t>TAO KHO DD.THUAN 100 GR</t>
  </si>
  <si>
    <t>ORIA63020</t>
  </si>
  <si>
    <t>HAT E DDTHUAN 100G</t>
  </si>
  <si>
    <t>ORIA63021</t>
  </si>
  <si>
    <t>HAT TIEU DEN EZ LIFE 40G</t>
  </si>
  <si>
    <t>ORIA63022</t>
  </si>
  <si>
    <t>DAU XANH CA MM 1KG</t>
  </si>
  <si>
    <t>ORIA63023</t>
  </si>
  <si>
    <t>D.PHEN HAT N.CHAT DANG THU 1KG</t>
  </si>
  <si>
    <t>ORIA63024</t>
  </si>
  <si>
    <r>
      <rPr>
        <b val="1"/>
        <sz val="12"/>
        <color indexed="8"/>
        <rFont val="Arial"/>
      </rPr>
      <t xml:space="preserve">MUOI HONG HAT TO EZ LIFE CANKG </t>
    </r>
    <r>
      <rPr>
        <b val="1"/>
        <i val="1"/>
        <sz val="12"/>
        <color indexed="8"/>
        <rFont val="Arial"/>
      </rPr>
      <t>(per kg)</t>
    </r>
  </si>
  <si>
    <t>ORIA63025</t>
  </si>
  <si>
    <r>
      <rPr>
        <b val="1"/>
        <sz val="12"/>
        <color indexed="8"/>
        <rFont val="Arial"/>
      </rPr>
      <t xml:space="preserve">MUOI HONG MIN EZ LIFE CAN KG </t>
    </r>
    <r>
      <rPr>
        <b val="1"/>
        <i val="1"/>
        <sz val="12"/>
        <color indexed="8"/>
        <rFont val="Arial"/>
      </rPr>
      <t>(per kg)</t>
    </r>
  </si>
  <si>
    <t>ORIA63026</t>
  </si>
  <si>
    <r>
      <rPr>
        <b val="1"/>
        <sz val="12"/>
        <color indexed="8"/>
        <rFont val="Arial"/>
      </rPr>
      <t xml:space="preserve">DAU DEN X.LONG EZ LIFE CAN KG </t>
    </r>
    <r>
      <rPr>
        <b val="1"/>
        <i val="1"/>
        <sz val="12"/>
        <color indexed="8"/>
        <rFont val="Arial"/>
      </rPr>
      <t>(per kg)</t>
    </r>
  </si>
  <si>
    <t>ORIA63027</t>
  </si>
  <si>
    <r>
      <rPr>
        <b val="1"/>
        <sz val="12"/>
        <color indexed="8"/>
        <rFont val="Arial"/>
      </rPr>
      <t xml:space="preserve">DAU DO MAT CUA EZ LIFE CAN KG </t>
    </r>
    <r>
      <rPr>
        <b val="1"/>
        <i val="1"/>
        <sz val="12"/>
        <color indexed="8"/>
        <rFont val="Arial"/>
      </rPr>
      <t>(per kg)</t>
    </r>
  </si>
  <si>
    <t>ORIA63028</t>
  </si>
  <si>
    <r>
      <rPr>
        <b val="1"/>
        <sz val="12"/>
        <color indexed="8"/>
        <rFont val="Arial"/>
      </rPr>
      <t xml:space="preserve">HAT HUONG DUONG HB-XA </t>
    </r>
    <r>
      <rPr>
        <b val="1"/>
        <i val="1"/>
        <sz val="12"/>
        <color indexed="8"/>
        <rFont val="Arial"/>
      </rPr>
      <t>(per kg)</t>
    </r>
  </si>
  <si>
    <t>ORIA63029</t>
  </si>
  <si>
    <r>
      <rPr>
        <b val="1"/>
        <sz val="12"/>
        <color indexed="8"/>
        <rFont val="Arial"/>
      </rPr>
      <t xml:space="preserve">HAT BI HB-XA </t>
    </r>
    <r>
      <rPr>
        <b val="1"/>
        <i val="1"/>
        <sz val="12"/>
        <color indexed="8"/>
        <rFont val="Arial"/>
      </rPr>
      <t>(per kg)</t>
    </r>
  </si>
  <si>
    <t>ORIA63030</t>
  </si>
  <si>
    <t>DUONG VANG GOLD MINERAL BH 1KG</t>
  </si>
  <si>
    <t>ORIA63031</t>
  </si>
  <si>
    <t>DA ME TAN LOC 900G</t>
  </si>
  <si>
    <t>ORIA63032</t>
  </si>
  <si>
    <t>VẢI THIEU FOODCLUB LON 565G</t>
  </si>
  <si>
    <t>ORIA64000</t>
  </si>
  <si>
    <t>4. CHĂM SÓC CÁ NHÂN &amp; VỆ SINH</t>
  </si>
  <si>
    <t>ORIA64001</t>
  </si>
  <si>
    <t>ORIA64002</t>
  </si>
  <si>
    <t>TAM CHI KR ORALCLEAN DENTALUSH</t>
  </si>
  <si>
    <t>ORIA64003</t>
  </si>
  <si>
    <t>BAN CHAI DANH RANG HPR VI 12</t>
  </si>
  <si>
    <t>Cái</t>
  </si>
  <si>
    <t>ORIA64004</t>
  </si>
  <si>
    <t>BCDR TRE EM JORDAN STEP 1</t>
  </si>
  <si>
    <t>ORIA64005</t>
  </si>
  <si>
    <t>BCDR TRE EM JORDAN STEP 2</t>
  </si>
  <si>
    <t>ORIA64006</t>
  </si>
  <si>
    <t>BCDR TRE EM JORDAN STEP 3</t>
  </si>
  <si>
    <t>ORIA64007</t>
  </si>
  <si>
    <t>BCDR SENSODYNE REPAIR&amp; PROTECT 1C</t>
  </si>
  <si>
    <t>ORIA64008</t>
  </si>
  <si>
    <t>KDR P/S TRE EM 2-6T H. CAM 45G</t>
  </si>
  <si>
    <t>ORIA64009</t>
  </si>
  <si>
    <t>KDR P/S TRE EM 2-6T H.DAU 45G</t>
  </si>
  <si>
    <t>ORIA64010</t>
  </si>
  <si>
    <t>KDR KODOMO TRE EM CAM 45G</t>
  </si>
  <si>
    <t>ORIA64011</t>
  </si>
  <si>
    <t>KDR COL MF H. DUA HAU 100G</t>
  </si>
  <si>
    <t>ORIA64012</t>
  </si>
  <si>
    <t>KDR CLOSEUP WN MNING KISS 100G</t>
  </si>
  <si>
    <t>ORIA64013</t>
  </si>
  <si>
    <t>KDR CLOSEUP WN BEAU. GLOW 100G</t>
  </si>
  <si>
    <t>ORIA64014</t>
  </si>
  <si>
    <t>KDR COLGATE TRANGSANG 100G</t>
  </si>
  <si>
    <t>ORIA64015</t>
  </si>
  <si>
    <t>NSM LISTERINE COOL MINT 100ML</t>
  </si>
  <si>
    <t>ORIA64016</t>
  </si>
  <si>
    <t>DCR DORCO RAPID2 TNB200YL4S 1L</t>
  </si>
  <si>
    <t>ORIA64017</t>
  </si>
  <si>
    <t>KEM CAO RAU GILLETTE LIME 50G</t>
  </si>
  <si>
    <t>ORIA64018</t>
  </si>
  <si>
    <t>BVS KOTEX DANG QUAN L/XL 2M</t>
  </si>
  <si>
    <t>ORIA64019</t>
  </si>
  <si>
    <t>BVS KOTEX QUAN HERBAL L/XL 2M</t>
  </si>
  <si>
    <t>ORIA64020</t>
  </si>
  <si>
    <t>BVS KOTEX QUAN COOL M/L 2M</t>
  </si>
  <si>
    <t>ORIA64021</t>
  </si>
  <si>
    <t>BUS LAURIER B.DEM 35CM 4M*4</t>
  </si>
  <si>
    <t>ORIA64022</t>
  </si>
  <si>
    <t>BUS LAURIER SMONG 22.5CM 10M*4</t>
  </si>
  <si>
    <t>ORIA64023</t>
  </si>
  <si>
    <t>BUS DIANA SENSI HNGAY KK 20M*6</t>
  </si>
  <si>
    <t>ORIA64024</t>
  </si>
  <si>
    <t>BVS SOFY SKIN C.ULTRA 26CM 17M</t>
  </si>
  <si>
    <t>ORIA64025</t>
  </si>
  <si>
    <t>K.TRANG MAYAN3D PM2.5 KIDS++*5</t>
  </si>
  <si>
    <t>ORIA64026</t>
  </si>
  <si>
    <t>TAM RAI TAI MM 200 CAY*2</t>
  </si>
  <si>
    <t>ORIA64027</t>
  </si>
  <si>
    <t>TAM RAY TAI MM TRE EM 160CAY*2</t>
  </si>
  <si>
    <t>ORIA64028</t>
  </si>
  <si>
    <t>DAY CHA LUNG BESICO YK06</t>
  </si>
  <si>
    <t>ORIA64029</t>
  </si>
  <si>
    <t>BANG DO VAI BESICO YK12</t>
  </si>
  <si>
    <t>ORIA65000</t>
  </si>
  <si>
    <t>5.ĐỒ GIA DỤNG, VỆ SINH NHÀ CỬA VÀ HÀNG THIẾT YẾU KHÁC</t>
  </si>
  <si>
    <t>ORIA65001</t>
  </si>
  <si>
    <t>ORIA65002</t>
  </si>
  <si>
    <t>BO OMO DO 800/770G</t>
  </si>
  <si>
    <t>ORIA65003</t>
  </si>
  <si>
    <t>BQ PRO THAI SACH HIEUQUA 4.5KG</t>
  </si>
  <si>
    <t>ORIA65004</t>
  </si>
  <si>
    <t>XBT VIM D.NANG SIEU MANH500ML</t>
  </si>
  <si>
    <t>ORIA65005</t>
  </si>
  <si>
    <t>VIEN TREO BC VIM LAVENDER 55G</t>
  </si>
  <si>
    <t>ORIA65006</t>
  </si>
  <si>
    <t>VIEN TREO BC VIM TX&amp;CHANH 55G</t>
  </si>
  <si>
    <t>ORIA65007</t>
  </si>
  <si>
    <t>SAP THOM AMBIPUR H.BI 180G*2</t>
  </si>
  <si>
    <t>ORIA65008</t>
  </si>
  <si>
    <t>NON BAO HIEM CHITA CT54</t>
  </si>
  <si>
    <t>ORIA66000</t>
  </si>
  <si>
    <t>6. DỤNG CỤ, BAO BÌ, ĐỒ DÙNG MỘT LẦN</t>
  </si>
  <si>
    <t>ORIA66001</t>
  </si>
  <si>
    <t>ORIA66002</t>
  </si>
  <si>
    <t>DUA BO DE TACH 20CM -20 D/GOI</t>
  </si>
  <si>
    <t>ORIA66003</t>
  </si>
  <si>
    <t>BICH100 MUONGGO KOKUSAI-006484 10C</t>
  </si>
  <si>
    <t>ORIA66004</t>
  </si>
  <si>
    <t>LY GIAY HNF 30Z* 10C</t>
  </si>
  <si>
    <t>ORIA66005</t>
  </si>
  <si>
    <t>LY GIAY HNF 22OZ*5C</t>
  </si>
  <si>
    <t>ORIA66006</t>
  </si>
  <si>
    <t>LY BAMIA GRACZ L051 260ML-10</t>
  </si>
  <si>
    <t>ORIA66007</t>
  </si>
  <si>
    <t>TOGIAY TRON MMPRO 2PE 70Z*10</t>
  </si>
  <si>
    <t>ORIA66008</t>
  </si>
  <si>
    <t>CHENNAP TB NGO H.DELI 120ML-5C</t>
  </si>
  <si>
    <t>ORIA66009</t>
  </si>
  <si>
    <t>TO BAMIA GRACZ LO26 350ML 10</t>
  </si>
  <si>
    <t>ORIA66010</t>
  </si>
  <si>
    <t>TO BAMIA GRACZ LO38 875ML 10C</t>
  </si>
  <si>
    <t>ORIA66011</t>
  </si>
  <si>
    <t>DIA GIAY MMPRO 13CM*10</t>
  </si>
  <si>
    <t>ORIA66012</t>
  </si>
  <si>
    <t>DIA GIAY MMPRO 18CM*10</t>
  </si>
  <si>
    <t>ORIA66013</t>
  </si>
  <si>
    <t>DIA GIAY HNF 23CM*10</t>
  </si>
  <si>
    <t>ORIA66014</t>
  </si>
  <si>
    <t>DIA BA MIA GRACZ 10IN 10C/L</t>
  </si>
  <si>
    <t>ORIA66015</t>
  </si>
  <si>
    <t>BO50 KHAY GIAYLOT CD L.F TRON</t>
  </si>
  <si>
    <t>Bộ</t>
  </si>
  <si>
    <t>ORIA66016</t>
  </si>
  <si>
    <t>BO50 KHAY GIAYLOT CD L.F VUONG</t>
  </si>
  <si>
    <t>ORIA66017</t>
  </si>
  <si>
    <t>KHAY NHOM N.GIAY KCW 14.5*20</t>
  </si>
  <si>
    <t>Khay</t>
  </si>
  <si>
    <t>ORIA66018</t>
  </si>
  <si>
    <t>KHAY NHOM N.GIAY KCW 21.5CM*10</t>
  </si>
  <si>
    <t>ORIA66019</t>
  </si>
  <si>
    <t>KHAY NHOM N.GIAY KCW-31.5CM*10</t>
  </si>
  <si>
    <t>ORIA66020</t>
  </si>
  <si>
    <t>GIAY NUONG ANNAPURNA 30X40CM</t>
  </si>
  <si>
    <t>Cuộn</t>
  </si>
  <si>
    <t>ORIA66021</t>
  </si>
  <si>
    <t>GIAY CHONG DINH MM 30CM*10M</t>
  </si>
  <si>
    <t>ORIA66022</t>
  </si>
  <si>
    <t>MANG PVC THP 30CM*150M</t>
  </si>
  <si>
    <t>ORIA66023</t>
  </si>
  <si>
    <t>B.THAM DAU MM TUI22*19.5CM 50T</t>
  </si>
  <si>
    <t>ORIA66024</t>
  </si>
  <si>
    <t>TUI TP PHSH DEODE017*25CM 500G</t>
  </si>
  <si>
    <t>ORIA66025</t>
  </si>
  <si>
    <t>TUI TP PHSH DEODE025*35CM 500G</t>
  </si>
  <si>
    <t>ORIA66026</t>
  </si>
  <si>
    <t>BAO TAY TIEN DUNG LDPE KOKUSAI</t>
  </si>
  <si>
    <t>ORIA66027</t>
  </si>
  <si>
    <t>BAO TAY NYLON FY HOP X.LA-100C</t>
  </si>
  <si>
    <t>ORIA66028</t>
  </si>
  <si>
    <t>KHAN UOT BOBBY K. HUONG 100T</t>
  </si>
  <si>
    <t>ORIA66029</t>
  </si>
  <si>
    <t>GIAY LUA B.YOU H.ME/ALAVIE 250T</t>
  </si>
  <si>
    <t>ORIA66030</t>
  </si>
  <si>
    <t>K.GIAY BLESSYOU/ALAVIE HOP180T</t>
  </si>
  <si>
    <t>ORIA66031</t>
  </si>
  <si>
    <t>GVS BLESS YOU H.M/ALAVIE CUON*20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</si>
</sst>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"/>
  </numFmts>
  <fonts count="1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8"/>
      <name val="Helvetica"/>
    </font>
    <font>
      <b val="1"/>
      <sz val="18"/>
      <color indexed="8"/>
      <name val="Arial"/>
    </font>
    <font>
      <b val="1"/>
      <sz val="14"/>
      <color indexed="8"/>
      <name val="Helvetica"/>
    </font>
    <font>
      <b val="1"/>
      <sz val="14"/>
      <color indexed="8"/>
      <name val="Arial"/>
    </font>
    <font>
      <sz val="10"/>
      <color indexed="8"/>
      <name val="Helvetica Neue"/>
    </font>
    <font>
      <b val="1"/>
      <sz val="12"/>
      <color indexed="8"/>
      <name val="Helvetica"/>
    </font>
    <font>
      <b val="1"/>
      <sz val="12"/>
      <color indexed="8"/>
      <name val="Arial"/>
    </font>
    <font>
      <sz val="13"/>
      <color indexed="8"/>
      <name val="Arial"/>
    </font>
    <font>
      <sz val="12"/>
      <color indexed="8"/>
      <name val="Arial"/>
    </font>
    <font>
      <b val="1"/>
      <i val="1"/>
      <sz val="12"/>
      <color indexed="8"/>
      <name val="Arial"/>
    </font>
    <font>
      <b val="1"/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readingOrder="1"/>
    </xf>
    <xf numFmtId="49" fontId="3" fillId="2" borderId="1" applyNumberFormat="1" applyFont="1" applyFill="1" applyBorder="1" applyAlignment="1" applyProtection="0">
      <alignment vertical="bottom" wrapText="1" readingOrder="1"/>
    </xf>
    <xf numFmtId="0" fontId="4" fillId="3" borderId="2" applyNumberFormat="0" applyFont="1" applyFill="1" applyBorder="1" applyAlignment="1" applyProtection="0">
      <alignment vertical="top" wrapText="1"/>
    </xf>
    <xf numFmtId="1" fontId="4" fillId="3" borderId="3" applyNumberFormat="1" applyFont="1" applyFill="1" applyBorder="1" applyAlignment="1" applyProtection="0">
      <alignment horizontal="center" vertical="center" wrapText="1"/>
    </xf>
    <xf numFmtId="1" fontId="4" fillId="3" borderId="3" applyNumberFormat="1" applyFont="1" applyFill="1" applyBorder="1" applyAlignment="1" applyProtection="0">
      <alignment vertical="top" wrapText="1"/>
    </xf>
    <xf numFmtId="1" fontId="4" fillId="3" borderId="4" applyNumberFormat="1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vertical="bottom" readingOrder="1"/>
    </xf>
    <xf numFmtId="49" fontId="6" fillId="2" borderId="5" applyNumberFormat="1" applyFont="1" applyFill="1" applyBorder="1" applyAlignment="1" applyProtection="0">
      <alignment vertical="top"/>
    </xf>
    <xf numFmtId="1" fontId="7" fillId="4" borderId="6" applyNumberFormat="1" applyFont="1" applyFill="1" applyBorder="1" applyAlignment="1" applyProtection="0">
      <alignment vertical="top"/>
    </xf>
    <xf numFmtId="1" fontId="7" fillId="4" borderId="7" applyNumberFormat="1" applyFont="1" applyFill="1" applyBorder="1" applyAlignment="1" applyProtection="0">
      <alignment vertical="top"/>
    </xf>
    <xf numFmtId="0" fontId="8" borderId="1" applyNumberFormat="0" applyFont="1" applyFill="0" applyBorder="1" applyAlignment="1" applyProtection="0">
      <alignment vertical="center" wrapText="1" readingOrder="1"/>
    </xf>
    <xf numFmtId="49" fontId="9" fillId="4" borderId="7" applyNumberFormat="1" applyFont="1" applyFill="1" applyBorder="1" applyAlignment="1" applyProtection="0">
      <alignment vertical="center"/>
    </xf>
    <xf numFmtId="49" fontId="9" fillId="4" borderId="1" applyNumberFormat="1" applyFont="1" applyFill="1" applyBorder="1" applyAlignment="1" applyProtection="0">
      <alignment vertical="center"/>
    </xf>
    <xf numFmtId="1" fontId="7" fillId="4" borderId="1" applyNumberFormat="1" applyFont="1" applyFill="1" applyBorder="1" applyAlignment="1" applyProtection="0">
      <alignment vertical="top"/>
    </xf>
    <xf numFmtId="49" fontId="10" borderId="1" applyNumberFormat="1" applyFont="1" applyFill="0" applyBorder="1" applyAlignment="1" applyProtection="0">
      <alignment vertical="bottom" wrapText="1" readingOrder="1"/>
    </xf>
    <xf numFmtId="49" fontId="11" fillId="4" borderId="1" applyNumberFormat="1" applyFont="1" applyFill="1" applyBorder="1" applyAlignment="1" applyProtection="0">
      <alignment vertical="center"/>
    </xf>
    <xf numFmtId="1" fontId="11" fillId="4" borderId="1" applyNumberFormat="1" applyFont="1" applyFill="1" applyBorder="1" applyAlignment="1" applyProtection="0">
      <alignment vertical="center"/>
    </xf>
    <xf numFmtId="59" fontId="11" fillId="4" borderId="1" applyNumberFormat="1" applyFont="1" applyFill="1" applyBorder="1" applyAlignment="1" applyProtection="0">
      <alignment vertical="center"/>
    </xf>
    <xf numFmtId="49" fontId="9" fillId="4" borderId="8" applyNumberFormat="1" applyFont="1" applyFill="1" applyBorder="1" applyAlignment="1" applyProtection="0">
      <alignment vertical="center"/>
    </xf>
    <xf numFmtId="49" fontId="6" fillId="2" borderId="5" applyNumberFormat="1" applyFont="1" applyFill="1" applyBorder="1" applyAlignment="1" applyProtection="0">
      <alignment vertical="top" wrapText="1"/>
    </xf>
    <xf numFmtId="1" fontId="7" fillId="4" borderId="9" applyNumberFormat="1" applyFont="1" applyFill="1" applyBorder="1" applyAlignment="1" applyProtection="0">
      <alignment vertical="top"/>
    </xf>
    <xf numFmtId="49" fontId="7" fillId="4" borderId="1" applyNumberFormat="1" applyFont="1" applyFill="1" applyBorder="1" applyAlignment="1" applyProtection="0">
      <alignment vertical="top"/>
    </xf>
    <xf numFmtId="0" fontId="10" borderId="1" applyNumberFormat="0" applyFont="1" applyFill="0" applyBorder="1" applyAlignment="1" applyProtection="0">
      <alignment vertical="bottom" wrapText="1" readingOrder="1"/>
    </xf>
    <xf numFmtId="0" fontId="0" borderId="1" applyNumberFormat="0" applyFont="1" applyFill="0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  <xf numFmtId="0" fontId="13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aaaaa"/>
      <rgbColor rgb="ffbdc0b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LibreOffice">
  <a:themeElements>
    <a:clrScheme name="Libre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Libre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Libre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80"/>
  <sheetViews>
    <sheetView workbookViewId="0" showGridLines="0" defaultGridColor="1"/>
  </sheetViews>
  <sheetFormatPr defaultColWidth="11.5" defaultRowHeight="12.8" customHeight="1" outlineLevelRow="0" outlineLevelCol="0"/>
  <cols>
    <col min="1" max="1" width="59.8125" style="1" customWidth="1"/>
    <col min="2" max="2" width="52" style="1" customWidth="1"/>
    <col min="3" max="3" width="12" style="1" customWidth="1"/>
    <col min="4" max="4" width="20" style="1" customWidth="1"/>
    <col min="5" max="5" width="11.5" style="1" customWidth="1"/>
    <col min="6" max="7" width="17.6719" style="1" customWidth="1"/>
    <col min="8" max="16384" width="11.5" style="1" customWidth="1"/>
  </cols>
  <sheetData>
    <row r="1" ht="61.9" customHeight="1">
      <c r="A1" t="s" s="3">
        <v>0</v>
      </c>
      <c r="B1" s="4"/>
      <c r="C1" s="5"/>
      <c r="D1" s="6"/>
      <c r="E1" s="6"/>
      <c r="F1" s="6"/>
      <c r="G1" s="7"/>
    </row>
    <row r="2" ht="20" customHeight="1">
      <c r="A2" t="s" s="8">
        <v>1</v>
      </c>
      <c r="B2" t="s" s="9">
        <v>2</v>
      </c>
      <c r="C2" s="10"/>
      <c r="D2" s="11"/>
      <c r="E2" s="11"/>
      <c r="F2" s="11"/>
      <c r="G2" s="11"/>
    </row>
    <row r="3" ht="20" customHeight="1">
      <c r="A3" s="12"/>
      <c r="B3" t="s" s="13">
        <v>3</v>
      </c>
      <c r="C3" t="s" s="14">
        <v>4</v>
      </c>
      <c r="D3" t="s" s="14">
        <v>5</v>
      </c>
      <c r="E3" s="15"/>
      <c r="F3" s="15"/>
      <c r="G3" s="15"/>
    </row>
    <row r="4" ht="20" customHeight="1">
      <c r="A4" t="s" s="16">
        <v>6</v>
      </c>
      <c r="B4" t="s" s="14">
        <v>7</v>
      </c>
      <c r="C4" t="s" s="17">
        <v>8</v>
      </c>
      <c r="D4" s="18">
        <v>12000</v>
      </c>
      <c r="E4" s="15"/>
      <c r="F4" s="15"/>
      <c r="G4" s="15"/>
    </row>
    <row r="5" ht="20" customHeight="1">
      <c r="A5" t="s" s="16">
        <v>9</v>
      </c>
      <c r="B5" t="s" s="14">
        <v>10</v>
      </c>
      <c r="C5" t="s" s="17">
        <v>8</v>
      </c>
      <c r="D5" s="18">
        <v>13000</v>
      </c>
      <c r="E5" s="15"/>
      <c r="F5" s="15"/>
      <c r="G5" s="15"/>
    </row>
    <row r="6" ht="20" customHeight="1">
      <c r="A6" t="s" s="16">
        <v>11</v>
      </c>
      <c r="B6" t="s" s="14">
        <v>12</v>
      </c>
      <c r="C6" t="s" s="17">
        <v>13</v>
      </c>
      <c r="D6" s="18">
        <v>22000</v>
      </c>
      <c r="E6" s="15"/>
      <c r="F6" s="15"/>
      <c r="G6" s="15"/>
    </row>
    <row r="7" ht="20" customHeight="1">
      <c r="A7" t="s" s="16">
        <v>14</v>
      </c>
      <c r="B7" t="s" s="14">
        <v>15</v>
      </c>
      <c r="C7" t="s" s="17">
        <v>13</v>
      </c>
      <c r="D7" s="18">
        <v>32000</v>
      </c>
      <c r="E7" s="15"/>
      <c r="F7" s="15"/>
      <c r="G7" s="15"/>
    </row>
    <row r="8" ht="20" customHeight="1">
      <c r="A8" t="s" s="16">
        <v>16</v>
      </c>
      <c r="B8" t="s" s="14">
        <v>17</v>
      </c>
      <c r="C8" t="s" s="17">
        <v>18</v>
      </c>
      <c r="D8" s="18">
        <v>28000</v>
      </c>
      <c r="E8" s="15"/>
      <c r="F8" s="15"/>
      <c r="G8" s="15"/>
    </row>
    <row r="9" ht="20" customHeight="1">
      <c r="A9" t="s" s="16">
        <v>19</v>
      </c>
      <c r="B9" t="s" s="14">
        <v>20</v>
      </c>
      <c r="C9" t="s" s="17">
        <v>8</v>
      </c>
      <c r="D9" s="18">
        <v>33000</v>
      </c>
      <c r="E9" s="15"/>
      <c r="F9" s="15"/>
      <c r="G9" s="15"/>
    </row>
    <row r="10" ht="20" customHeight="1">
      <c r="A10" t="s" s="16">
        <v>21</v>
      </c>
      <c r="B10" t="s" s="14">
        <v>22</v>
      </c>
      <c r="C10" t="s" s="17">
        <v>13</v>
      </c>
      <c r="D10" s="18">
        <v>12000</v>
      </c>
      <c r="E10" s="15"/>
      <c r="F10" s="15"/>
      <c r="G10" s="15"/>
    </row>
    <row r="11" ht="20" customHeight="1">
      <c r="A11" t="s" s="16">
        <v>23</v>
      </c>
      <c r="B11" t="s" s="14">
        <v>24</v>
      </c>
      <c r="C11" t="s" s="17">
        <v>8</v>
      </c>
      <c r="D11" s="18">
        <f>60000/4</f>
        <v>15000</v>
      </c>
      <c r="E11" s="15"/>
      <c r="F11" s="15"/>
      <c r="G11" s="15"/>
    </row>
    <row r="12" ht="20" customHeight="1">
      <c r="A12" t="s" s="16">
        <v>25</v>
      </c>
      <c r="B12" t="s" s="14">
        <v>26</v>
      </c>
      <c r="C12" t="s" s="17">
        <v>27</v>
      </c>
      <c r="D12" s="18">
        <v>30000</v>
      </c>
      <c r="E12" s="15"/>
      <c r="F12" s="15"/>
      <c r="G12" s="15"/>
    </row>
    <row r="13" ht="20" customHeight="1">
      <c r="A13" t="s" s="16">
        <v>28</v>
      </c>
      <c r="B13" t="s" s="14">
        <v>29</v>
      </c>
      <c r="C13" t="s" s="17">
        <v>8</v>
      </c>
      <c r="D13" s="19">
        <v>49.5</v>
      </c>
      <c r="E13" s="15"/>
      <c r="F13" s="15"/>
      <c r="G13" s="15"/>
    </row>
    <row r="14" ht="20" customHeight="1">
      <c r="A14" t="s" s="16">
        <v>30</v>
      </c>
      <c r="B14" t="s" s="14">
        <v>31</v>
      </c>
      <c r="C14" t="s" s="17">
        <v>8</v>
      </c>
      <c r="D14" s="18">
        <v>55000</v>
      </c>
      <c r="E14" s="15"/>
      <c r="F14" s="15"/>
      <c r="G14" s="15"/>
    </row>
    <row r="15" ht="20" customHeight="1">
      <c r="A15" t="s" s="16">
        <v>32</v>
      </c>
      <c r="B15" t="s" s="14">
        <v>33</v>
      </c>
      <c r="C15" t="s" s="17">
        <v>8</v>
      </c>
      <c r="D15" s="18">
        <v>55000</v>
      </c>
      <c r="E15" s="15"/>
      <c r="F15" s="15"/>
      <c r="G15" s="15"/>
    </row>
    <row r="16" ht="20" customHeight="1">
      <c r="A16" t="s" s="16">
        <v>34</v>
      </c>
      <c r="B16" t="s" s="14">
        <v>35</v>
      </c>
      <c r="C16" t="s" s="17">
        <v>8</v>
      </c>
      <c r="D16" s="18">
        <v>10000</v>
      </c>
      <c r="E16" s="15"/>
      <c r="F16" s="15"/>
      <c r="G16" s="15"/>
    </row>
    <row r="17" ht="20" customHeight="1">
      <c r="A17" t="s" s="16">
        <v>36</v>
      </c>
      <c r="B17" t="s" s="14">
        <v>37</v>
      </c>
      <c r="C17" t="s" s="17">
        <v>8</v>
      </c>
      <c r="D17" s="18">
        <v>21000</v>
      </c>
      <c r="E17" s="15"/>
      <c r="F17" s="15"/>
      <c r="G17" s="15"/>
    </row>
    <row r="18" ht="20" customHeight="1">
      <c r="A18" t="s" s="16">
        <v>38</v>
      </c>
      <c r="B18" t="s" s="14">
        <v>39</v>
      </c>
      <c r="C18" t="s" s="17">
        <v>8</v>
      </c>
      <c r="D18" s="18">
        <v>22000</v>
      </c>
      <c r="E18" s="15"/>
      <c r="F18" s="15"/>
      <c r="G18" s="15"/>
    </row>
    <row r="19" ht="20" customHeight="1">
      <c r="A19" t="s" s="16">
        <v>40</v>
      </c>
      <c r="B19" t="s" s="14">
        <v>41</v>
      </c>
      <c r="C19" t="s" s="17">
        <v>8</v>
      </c>
      <c r="D19" s="18">
        <v>22000</v>
      </c>
      <c r="E19" s="15"/>
      <c r="F19" s="15"/>
      <c r="G19" s="15"/>
    </row>
    <row r="20" ht="20" customHeight="1">
      <c r="A20" t="s" s="16">
        <v>42</v>
      </c>
      <c r="B20" t="s" s="14">
        <v>43</v>
      </c>
      <c r="C20" t="s" s="17">
        <v>44</v>
      </c>
      <c r="D20" s="19">
        <v>36.5</v>
      </c>
      <c r="E20" s="15"/>
      <c r="F20" s="15"/>
      <c r="G20" s="15"/>
    </row>
    <row r="21" ht="20" customHeight="1">
      <c r="A21" t="s" s="16">
        <v>45</v>
      </c>
      <c r="B21" t="s" s="14">
        <v>46</v>
      </c>
      <c r="C21" t="s" s="17">
        <v>44</v>
      </c>
      <c r="D21" s="19">
        <v>36.5</v>
      </c>
      <c r="E21" s="15"/>
      <c r="F21" s="15"/>
      <c r="G21" s="15"/>
    </row>
    <row r="22" ht="20" customHeight="1">
      <c r="A22" t="s" s="16">
        <v>47</v>
      </c>
      <c r="B22" t="s" s="14">
        <v>48</v>
      </c>
      <c r="C22" t="s" s="17">
        <v>44</v>
      </c>
      <c r="D22" s="19">
        <v>36.5</v>
      </c>
      <c r="E22" s="15"/>
      <c r="F22" s="15"/>
      <c r="G22" s="15"/>
    </row>
    <row r="23" ht="20" customHeight="1">
      <c r="A23" t="s" s="16">
        <v>49</v>
      </c>
      <c r="B23" t="s" s="14">
        <v>50</v>
      </c>
      <c r="C23" t="s" s="17">
        <v>44</v>
      </c>
      <c r="D23" s="19">
        <v>38</v>
      </c>
      <c r="E23" s="15"/>
      <c r="F23" s="15"/>
      <c r="G23" s="15"/>
    </row>
    <row r="24" ht="20" customHeight="1">
      <c r="A24" t="s" s="16">
        <v>51</v>
      </c>
      <c r="B24" t="s" s="14">
        <v>52</v>
      </c>
      <c r="C24" t="s" s="17">
        <v>44</v>
      </c>
      <c r="D24" s="19">
        <v>38</v>
      </c>
      <c r="E24" s="15"/>
      <c r="F24" s="15"/>
      <c r="G24" s="15"/>
    </row>
    <row r="25" ht="20" customHeight="1">
      <c r="A25" t="s" s="16">
        <v>53</v>
      </c>
      <c r="B25" t="s" s="14">
        <v>54</v>
      </c>
      <c r="C25" t="s" s="17">
        <v>27</v>
      </c>
      <c r="D25" s="19">
        <v>46.5</v>
      </c>
      <c r="E25" s="15"/>
      <c r="F25" s="15"/>
      <c r="G25" s="15"/>
    </row>
    <row r="26" ht="20" customHeight="1">
      <c r="A26" t="s" s="16">
        <v>55</v>
      </c>
      <c r="B26" t="s" s="14">
        <v>56</v>
      </c>
      <c r="C26" t="s" s="17">
        <v>8</v>
      </c>
      <c r="D26" s="18">
        <v>8000</v>
      </c>
      <c r="E26" s="15"/>
      <c r="F26" s="15"/>
      <c r="G26" s="15"/>
    </row>
    <row r="27" ht="20" customHeight="1">
      <c r="A27" t="s" s="16">
        <v>57</v>
      </c>
      <c r="B27" t="s" s="14">
        <v>58</v>
      </c>
      <c r="C27" t="s" s="17">
        <v>8</v>
      </c>
      <c r="D27" s="18">
        <v>10000</v>
      </c>
      <c r="E27" s="15"/>
      <c r="F27" s="15"/>
      <c r="G27" s="15"/>
    </row>
    <row r="28" ht="20" customHeight="1">
      <c r="A28" t="s" s="16">
        <v>59</v>
      </c>
      <c r="B28" t="s" s="14">
        <v>60</v>
      </c>
      <c r="C28" t="s" s="17">
        <v>8</v>
      </c>
      <c r="D28" s="18">
        <v>11000</v>
      </c>
      <c r="E28" s="15"/>
      <c r="F28" s="15"/>
      <c r="G28" s="15"/>
    </row>
    <row r="29" ht="20" customHeight="1">
      <c r="A29" t="s" s="16">
        <v>61</v>
      </c>
      <c r="B29" t="s" s="14">
        <v>62</v>
      </c>
      <c r="C29" t="s" s="17">
        <v>8</v>
      </c>
      <c r="D29" s="18">
        <v>7000</v>
      </c>
      <c r="E29" s="15"/>
      <c r="F29" s="15"/>
      <c r="G29" s="15"/>
    </row>
    <row r="30" ht="20" customHeight="1">
      <c r="A30" t="s" s="16">
        <v>63</v>
      </c>
      <c r="B30" t="s" s="14">
        <v>64</v>
      </c>
      <c r="C30" t="s" s="17">
        <v>65</v>
      </c>
      <c r="D30" s="18">
        <v>76000</v>
      </c>
      <c r="E30" s="15"/>
      <c r="F30" s="15"/>
      <c r="G30" s="15"/>
    </row>
    <row r="31" ht="20" customHeight="1">
      <c r="A31" t="s" s="16">
        <v>66</v>
      </c>
      <c r="B31" t="s" s="14">
        <v>67</v>
      </c>
      <c r="C31" t="s" s="17">
        <v>8</v>
      </c>
      <c r="D31" s="18">
        <v>31000</v>
      </c>
      <c r="E31" s="15"/>
      <c r="F31" s="15"/>
      <c r="G31" s="15"/>
    </row>
    <row r="32" ht="20" customHeight="1">
      <c r="A32" t="s" s="16">
        <v>68</v>
      </c>
      <c r="B32" t="s" s="14">
        <v>69</v>
      </c>
      <c r="C32" t="s" s="17">
        <v>8</v>
      </c>
      <c r="D32" s="18">
        <v>6000</v>
      </c>
      <c r="E32" s="15"/>
      <c r="F32" s="15"/>
      <c r="G32" s="15"/>
    </row>
    <row r="33" ht="20" customHeight="1">
      <c r="A33" t="s" s="16">
        <v>70</v>
      </c>
      <c r="B33" t="s" s="14">
        <v>71</v>
      </c>
      <c r="C33" t="s" s="17">
        <v>8</v>
      </c>
      <c r="D33" s="18">
        <v>8000</v>
      </c>
      <c r="E33" s="15"/>
      <c r="F33" s="15"/>
      <c r="G33" s="15"/>
    </row>
    <row r="34" ht="20" customHeight="1">
      <c r="A34" t="s" s="16">
        <v>72</v>
      </c>
      <c r="B34" t="s" s="14">
        <v>73</v>
      </c>
      <c r="C34" t="s" s="17">
        <v>27</v>
      </c>
      <c r="D34" s="18">
        <v>35000</v>
      </c>
      <c r="E34" s="15"/>
      <c r="F34" s="15"/>
      <c r="G34" s="15"/>
    </row>
    <row r="35" ht="20" customHeight="1">
      <c r="A35" t="s" s="16">
        <v>74</v>
      </c>
      <c r="B35" t="s" s="14">
        <v>75</v>
      </c>
      <c r="C35" t="s" s="17">
        <v>27</v>
      </c>
      <c r="D35" s="18">
        <v>37000</v>
      </c>
      <c r="E35" s="15"/>
      <c r="F35" s="15"/>
      <c r="G35" s="15"/>
    </row>
    <row r="36" ht="20" customHeight="1">
      <c r="A36" t="s" s="16">
        <v>76</v>
      </c>
      <c r="B36" t="s" s="20">
        <v>77</v>
      </c>
      <c r="C36" t="s" s="17">
        <v>27</v>
      </c>
      <c r="D36" s="18">
        <v>37000</v>
      </c>
      <c r="E36" s="15"/>
      <c r="F36" s="15"/>
      <c r="G36" s="15"/>
    </row>
    <row r="37" ht="20" customHeight="1">
      <c r="A37" t="s" s="8">
        <v>78</v>
      </c>
      <c r="B37" t="s" s="21">
        <v>79</v>
      </c>
      <c r="C37" s="22"/>
      <c r="D37" s="15"/>
      <c r="E37" s="15"/>
      <c r="F37" s="15"/>
      <c r="G37" s="15"/>
    </row>
    <row r="38" ht="20" customHeight="1">
      <c r="A38" t="s" s="16">
        <v>80</v>
      </c>
      <c r="B38" t="s" s="13">
        <v>3</v>
      </c>
      <c r="C38" t="s" s="14">
        <v>4</v>
      </c>
      <c r="D38" t="s" s="14">
        <v>5</v>
      </c>
      <c r="E38" s="15"/>
      <c r="F38" s="15"/>
      <c r="G38" s="15"/>
    </row>
    <row r="39" ht="20" customHeight="1">
      <c r="A39" t="s" s="16">
        <v>81</v>
      </c>
      <c r="B39" t="s" s="14">
        <v>82</v>
      </c>
      <c r="C39" t="s" s="17">
        <v>18</v>
      </c>
      <c r="D39" s="19">
        <v>5</v>
      </c>
      <c r="E39" s="15"/>
      <c r="F39" s="15"/>
      <c r="G39" s="15"/>
    </row>
    <row r="40" ht="20" customHeight="1">
      <c r="A40" t="s" s="16">
        <v>83</v>
      </c>
      <c r="B40" t="s" s="14">
        <v>84</v>
      </c>
      <c r="C40" t="s" s="17">
        <v>18</v>
      </c>
      <c r="D40" s="19">
        <v>10</v>
      </c>
      <c r="E40" s="15"/>
      <c r="F40" s="15"/>
      <c r="G40" s="15"/>
    </row>
    <row r="41" ht="20" customHeight="1">
      <c r="A41" t="s" s="16">
        <v>85</v>
      </c>
      <c r="B41" t="s" s="14">
        <v>86</v>
      </c>
      <c r="C41" t="s" s="17">
        <v>65</v>
      </c>
      <c r="D41" s="18">
        <v>14000</v>
      </c>
      <c r="E41" s="15"/>
      <c r="F41" s="15"/>
      <c r="G41" s="15"/>
    </row>
    <row r="42" ht="20" customHeight="1">
      <c r="A42" t="s" s="16">
        <v>87</v>
      </c>
      <c r="B42" t="s" s="14">
        <v>88</v>
      </c>
      <c r="C42" t="s" s="17">
        <v>65</v>
      </c>
      <c r="D42" s="18">
        <v>15000</v>
      </c>
      <c r="E42" s="15"/>
      <c r="F42" s="15"/>
      <c r="G42" s="15"/>
    </row>
    <row r="43" ht="20" customHeight="1">
      <c r="A43" t="s" s="16">
        <v>89</v>
      </c>
      <c r="B43" t="s" s="14">
        <v>90</v>
      </c>
      <c r="C43" t="s" s="17">
        <v>65</v>
      </c>
      <c r="D43" s="18">
        <v>15000</v>
      </c>
      <c r="E43" s="15"/>
      <c r="F43" s="15"/>
      <c r="G43" s="15"/>
    </row>
    <row r="44" ht="20" customHeight="1">
      <c r="A44" t="s" s="16">
        <v>91</v>
      </c>
      <c r="B44" t="s" s="14">
        <v>92</v>
      </c>
      <c r="C44" t="s" s="17">
        <v>65</v>
      </c>
      <c r="D44" s="18">
        <f>93000/6</f>
        <v>15500</v>
      </c>
      <c r="E44" s="15"/>
      <c r="F44" s="15"/>
      <c r="G44" s="15"/>
    </row>
    <row r="45" ht="20" customHeight="1">
      <c r="A45" t="s" s="16">
        <v>93</v>
      </c>
      <c r="B45" t="s" s="14">
        <v>94</v>
      </c>
      <c r="C45" t="s" s="17">
        <v>18</v>
      </c>
      <c r="D45" s="18">
        <f>142000/24</f>
        <v>5916.666666666670</v>
      </c>
      <c r="E45" s="15"/>
      <c r="F45" s="15"/>
      <c r="G45" s="15"/>
    </row>
    <row r="46" ht="20" customHeight="1">
      <c r="A46" t="s" s="16">
        <v>95</v>
      </c>
      <c r="B46" t="s" s="14">
        <v>96</v>
      </c>
      <c r="C46" t="s" s="17">
        <v>65</v>
      </c>
      <c r="D46" s="18">
        <v>25000</v>
      </c>
      <c r="E46" s="15"/>
      <c r="F46" s="15"/>
      <c r="G46" s="15"/>
    </row>
    <row r="47" ht="20" customHeight="1">
      <c r="A47" t="s" s="16">
        <v>97</v>
      </c>
      <c r="B47" t="s" s="14">
        <v>98</v>
      </c>
      <c r="C47" t="s" s="17">
        <v>65</v>
      </c>
      <c r="D47" s="18">
        <v>27000</v>
      </c>
      <c r="E47" s="15"/>
      <c r="F47" s="15"/>
      <c r="G47" s="15"/>
    </row>
    <row r="48" ht="20" customHeight="1">
      <c r="A48" t="s" s="16">
        <v>99</v>
      </c>
      <c r="B48" t="s" s="14">
        <v>100</v>
      </c>
      <c r="C48" t="s" s="17">
        <v>27</v>
      </c>
      <c r="D48" s="18">
        <v>8000</v>
      </c>
      <c r="E48" s="15"/>
      <c r="F48" s="15"/>
      <c r="G48" s="15"/>
    </row>
    <row r="49" ht="20" customHeight="1">
      <c r="A49" t="s" s="16">
        <v>101</v>
      </c>
      <c r="B49" t="s" s="14">
        <v>102</v>
      </c>
      <c r="C49" t="s" s="17">
        <v>27</v>
      </c>
      <c r="D49" s="18">
        <v>8000</v>
      </c>
      <c r="E49" s="15"/>
      <c r="F49" s="15"/>
      <c r="G49" s="15"/>
    </row>
    <row r="50" ht="20" customHeight="1">
      <c r="A50" t="s" s="16">
        <v>103</v>
      </c>
      <c r="B50" t="s" s="14">
        <v>104</v>
      </c>
      <c r="C50" t="s" s="17">
        <v>27</v>
      </c>
      <c r="D50" s="18">
        <v>12000</v>
      </c>
      <c r="E50" s="15"/>
      <c r="F50" s="15"/>
      <c r="G50" s="15"/>
    </row>
    <row r="51" ht="20" customHeight="1">
      <c r="A51" t="s" s="16">
        <v>105</v>
      </c>
      <c r="B51" t="s" s="14">
        <v>106</v>
      </c>
      <c r="C51" t="s" s="17">
        <v>27</v>
      </c>
      <c r="D51" s="18">
        <v>12000</v>
      </c>
      <c r="E51" s="15"/>
      <c r="F51" s="15"/>
      <c r="G51" s="15"/>
    </row>
    <row r="52" ht="20" customHeight="1">
      <c r="A52" t="s" s="16">
        <v>107</v>
      </c>
      <c r="B52" t="s" s="14">
        <v>108</v>
      </c>
      <c r="C52" t="s" s="17">
        <v>8</v>
      </c>
      <c r="D52" s="18">
        <v>6000</v>
      </c>
      <c r="E52" s="15"/>
      <c r="F52" s="15"/>
      <c r="G52" s="15"/>
    </row>
    <row r="53" ht="20" customHeight="1">
      <c r="A53" t="s" s="16">
        <v>109</v>
      </c>
      <c r="B53" t="s" s="14">
        <v>110</v>
      </c>
      <c r="C53" t="s" s="17">
        <v>8</v>
      </c>
      <c r="D53" s="18">
        <v>5000</v>
      </c>
      <c r="E53" s="15"/>
      <c r="F53" s="15"/>
      <c r="G53" s="15"/>
    </row>
    <row r="54" ht="20" customHeight="1">
      <c r="A54" t="s" s="16">
        <v>111</v>
      </c>
      <c r="B54" t="s" s="14">
        <v>112</v>
      </c>
      <c r="C54" t="s" s="17">
        <v>8</v>
      </c>
      <c r="D54" s="18">
        <v>7000</v>
      </c>
      <c r="E54" s="15"/>
      <c r="F54" s="15"/>
      <c r="G54" s="15"/>
    </row>
    <row r="55" ht="20" customHeight="1">
      <c r="A55" t="s" s="16">
        <v>113</v>
      </c>
      <c r="B55" t="s" s="14">
        <v>114</v>
      </c>
      <c r="C55" t="s" s="17">
        <v>115</v>
      </c>
      <c r="D55" s="18">
        <v>251000</v>
      </c>
      <c r="E55" s="15"/>
      <c r="F55" s="15"/>
      <c r="G55" s="15"/>
    </row>
    <row r="56" ht="20" customHeight="1">
      <c r="A56" t="s" s="16">
        <v>116</v>
      </c>
      <c r="B56" t="s" s="20">
        <v>117</v>
      </c>
      <c r="C56" t="s" s="17">
        <v>115</v>
      </c>
      <c r="D56" s="18">
        <v>409000</v>
      </c>
      <c r="E56" s="15"/>
      <c r="F56" s="15"/>
      <c r="G56" s="15"/>
    </row>
    <row r="57" ht="20" customHeight="1">
      <c r="A57" t="s" s="8">
        <v>118</v>
      </c>
      <c r="B57" t="s" s="9">
        <v>119</v>
      </c>
      <c r="C57" s="22"/>
      <c r="D57" s="15"/>
      <c r="E57" s="15"/>
      <c r="F57" s="15"/>
      <c r="G57" s="15"/>
    </row>
    <row r="58" ht="20" customHeight="1">
      <c r="A58" t="s" s="16">
        <v>120</v>
      </c>
      <c r="B58" t="s" s="13">
        <v>3</v>
      </c>
      <c r="C58" t="s" s="14">
        <v>4</v>
      </c>
      <c r="D58" t="s" s="14">
        <v>5</v>
      </c>
      <c r="E58" s="15"/>
      <c r="F58" s="15"/>
      <c r="G58" s="15"/>
    </row>
    <row r="59" ht="20" customHeight="1">
      <c r="A59" t="s" s="16">
        <v>121</v>
      </c>
      <c r="B59" t="s" s="14">
        <v>122</v>
      </c>
      <c r="C59" t="s" s="17">
        <v>18</v>
      </c>
      <c r="D59" s="18">
        <v>23000</v>
      </c>
      <c r="E59" s="15"/>
      <c r="F59" s="15"/>
      <c r="G59" s="15"/>
    </row>
    <row r="60" ht="20" customHeight="1">
      <c r="A60" t="s" s="16">
        <v>123</v>
      </c>
      <c r="B60" t="s" s="14">
        <v>124</v>
      </c>
      <c r="C60" t="s" s="17">
        <v>18</v>
      </c>
      <c r="D60" s="18">
        <v>22000</v>
      </c>
      <c r="E60" s="15"/>
      <c r="F60" s="15"/>
      <c r="G60" s="15"/>
    </row>
    <row r="61" ht="20" customHeight="1">
      <c r="A61" t="s" s="16">
        <v>125</v>
      </c>
      <c r="B61" t="s" s="14">
        <v>126</v>
      </c>
      <c r="C61" t="s" s="17">
        <v>127</v>
      </c>
      <c r="D61" s="18">
        <v>29000</v>
      </c>
      <c r="E61" s="15"/>
      <c r="F61" s="15"/>
      <c r="G61" s="15"/>
    </row>
    <row r="62" ht="20" customHeight="1">
      <c r="A62" t="s" s="16">
        <v>128</v>
      </c>
      <c r="B62" t="s" s="14">
        <v>129</v>
      </c>
      <c r="C62" t="s" s="17">
        <v>27</v>
      </c>
      <c r="D62" s="18">
        <v>37000</v>
      </c>
      <c r="E62" s="15"/>
      <c r="F62" s="15"/>
      <c r="G62" s="15"/>
    </row>
    <row r="63" ht="20" customHeight="1">
      <c r="A63" t="s" s="16">
        <v>130</v>
      </c>
      <c r="B63" t="s" s="14">
        <v>131</v>
      </c>
      <c r="C63" t="s" s="17">
        <v>27</v>
      </c>
      <c r="D63" s="18">
        <v>8000</v>
      </c>
      <c r="E63" s="15"/>
      <c r="F63" s="15"/>
      <c r="G63" s="15"/>
    </row>
    <row r="64" ht="20" customHeight="1">
      <c r="A64" t="s" s="16">
        <v>132</v>
      </c>
      <c r="B64" t="s" s="14">
        <v>133</v>
      </c>
      <c r="C64" t="s" s="17">
        <v>18</v>
      </c>
      <c r="D64" s="18">
        <v>49000</v>
      </c>
      <c r="E64" s="15"/>
      <c r="F64" s="15"/>
      <c r="G64" s="15"/>
    </row>
    <row r="65" ht="20" customHeight="1">
      <c r="A65" t="s" s="16">
        <v>134</v>
      </c>
      <c r="B65" t="s" s="14">
        <v>135</v>
      </c>
      <c r="C65" t="s" s="17">
        <v>18</v>
      </c>
      <c r="D65" s="18">
        <f>146000/2</f>
        <v>73000</v>
      </c>
      <c r="E65" s="15"/>
      <c r="F65" s="15"/>
      <c r="G65" s="15"/>
    </row>
    <row r="66" ht="20" customHeight="1">
      <c r="A66" t="s" s="16">
        <v>136</v>
      </c>
      <c r="B66" t="s" s="14">
        <v>137</v>
      </c>
      <c r="C66" t="s" s="17">
        <v>18</v>
      </c>
      <c r="D66" s="18">
        <v>23000</v>
      </c>
      <c r="E66" s="15"/>
      <c r="F66" s="15"/>
      <c r="G66" s="15"/>
    </row>
    <row r="67" ht="20" customHeight="1">
      <c r="A67" t="s" s="16">
        <v>138</v>
      </c>
      <c r="B67" t="s" s="14">
        <v>139</v>
      </c>
      <c r="C67" t="s" s="17">
        <v>65</v>
      </c>
      <c r="D67" s="18">
        <v>25000</v>
      </c>
      <c r="E67" s="15"/>
      <c r="F67" s="15"/>
      <c r="G67" s="15"/>
    </row>
    <row r="68" ht="20" customHeight="1">
      <c r="A68" t="s" s="16">
        <v>140</v>
      </c>
      <c r="B68" t="s" s="14">
        <v>141</v>
      </c>
      <c r="C68" t="s" s="17">
        <v>27</v>
      </c>
      <c r="D68" s="18">
        <f>70000/5</f>
        <v>14000</v>
      </c>
      <c r="E68" s="15"/>
      <c r="F68" s="15"/>
      <c r="G68" s="15"/>
    </row>
    <row r="69" ht="20" customHeight="1">
      <c r="A69" t="s" s="16">
        <v>142</v>
      </c>
      <c r="B69" t="s" s="14">
        <v>143</v>
      </c>
      <c r="C69" t="s" s="17">
        <v>18</v>
      </c>
      <c r="D69" s="18">
        <v>88000</v>
      </c>
      <c r="E69" s="15"/>
      <c r="F69" s="15"/>
      <c r="G69" s="15"/>
    </row>
    <row r="70" ht="20" customHeight="1">
      <c r="A70" t="s" s="16">
        <v>144</v>
      </c>
      <c r="B70" t="s" s="14">
        <v>145</v>
      </c>
      <c r="C70" t="s" s="17">
        <v>8</v>
      </c>
      <c r="D70" s="18">
        <v>25000</v>
      </c>
      <c r="E70" s="15"/>
      <c r="F70" s="15"/>
      <c r="G70" s="15"/>
    </row>
    <row r="71" ht="20" customHeight="1">
      <c r="A71" t="s" s="16">
        <v>146</v>
      </c>
      <c r="B71" t="s" s="14">
        <v>147</v>
      </c>
      <c r="C71" t="s" s="17">
        <v>8</v>
      </c>
      <c r="D71" s="18">
        <v>25000</v>
      </c>
      <c r="E71" s="15"/>
      <c r="F71" s="15"/>
      <c r="G71" s="15"/>
    </row>
    <row r="72" ht="20" customHeight="1">
      <c r="A72" t="s" s="16">
        <v>148</v>
      </c>
      <c r="B72" t="s" s="14">
        <v>149</v>
      </c>
      <c r="C72" t="s" s="17">
        <v>8</v>
      </c>
      <c r="D72" s="18">
        <v>30000</v>
      </c>
      <c r="E72" s="15"/>
      <c r="F72" s="15"/>
      <c r="G72" s="15"/>
    </row>
    <row r="73" ht="20" customHeight="1">
      <c r="A73" t="s" s="16">
        <v>150</v>
      </c>
      <c r="B73" t="s" s="14">
        <v>151</v>
      </c>
      <c r="C73" t="s" s="17">
        <v>8</v>
      </c>
      <c r="D73" s="18">
        <v>21000</v>
      </c>
      <c r="E73" s="15"/>
      <c r="F73" s="15"/>
      <c r="G73" s="15"/>
    </row>
    <row r="74" ht="20" customHeight="1">
      <c r="A74" t="s" s="16">
        <v>152</v>
      </c>
      <c r="B74" t="s" s="14">
        <v>153</v>
      </c>
      <c r="C74" t="s" s="17">
        <v>8</v>
      </c>
      <c r="D74" s="18">
        <v>5000</v>
      </c>
      <c r="E74" s="15"/>
      <c r="F74" s="15"/>
      <c r="G74" s="15"/>
    </row>
    <row r="75" ht="20" customHeight="1">
      <c r="A75" t="s" s="16">
        <v>154</v>
      </c>
      <c r="B75" t="s" s="14">
        <v>155</v>
      </c>
      <c r="C75" t="s" s="17">
        <v>8</v>
      </c>
      <c r="D75" s="18">
        <v>41000</v>
      </c>
      <c r="E75" s="15"/>
      <c r="F75" s="15"/>
      <c r="G75" s="15"/>
    </row>
    <row r="76" ht="20" customHeight="1">
      <c r="A76" t="s" s="16">
        <v>156</v>
      </c>
      <c r="B76" t="s" s="14">
        <v>157</v>
      </c>
      <c r="C76" t="s" s="17">
        <v>8</v>
      </c>
      <c r="D76" s="18">
        <v>25000</v>
      </c>
      <c r="E76" s="15"/>
      <c r="F76" s="15"/>
      <c r="G76" s="15"/>
    </row>
    <row r="77" ht="20" customHeight="1">
      <c r="A77" t="s" s="16">
        <v>158</v>
      </c>
      <c r="B77" t="s" s="14">
        <v>159</v>
      </c>
      <c r="C77" t="s" s="17">
        <v>8</v>
      </c>
      <c r="D77" s="18">
        <v>31000</v>
      </c>
      <c r="E77" s="15"/>
      <c r="F77" s="15"/>
      <c r="G77" s="15"/>
    </row>
    <row r="78" ht="20" customHeight="1">
      <c r="A78" t="s" s="16">
        <v>160</v>
      </c>
      <c r="B78" t="s" s="14">
        <v>161</v>
      </c>
      <c r="C78" t="s" s="17">
        <v>8</v>
      </c>
      <c r="D78" s="18">
        <v>19000</v>
      </c>
      <c r="E78" s="15"/>
      <c r="F78" s="15"/>
      <c r="G78" s="15"/>
    </row>
    <row r="79" ht="20" customHeight="1">
      <c r="A79" t="s" s="16">
        <v>162</v>
      </c>
      <c r="B79" t="s" s="14">
        <v>163</v>
      </c>
      <c r="C79" t="s" s="17">
        <v>8</v>
      </c>
      <c r="D79" s="18">
        <v>80000</v>
      </c>
      <c r="E79" s="15"/>
      <c r="F79" s="15"/>
      <c r="G79" s="15"/>
    </row>
    <row r="80" ht="20" customHeight="1">
      <c r="A80" t="s" s="16">
        <v>164</v>
      </c>
      <c r="B80" t="s" s="14">
        <v>165</v>
      </c>
      <c r="C80" t="s" s="17">
        <v>8</v>
      </c>
      <c r="D80" s="18">
        <v>80000</v>
      </c>
      <c r="E80" s="15"/>
      <c r="F80" s="15"/>
      <c r="G80" s="15"/>
    </row>
    <row r="81" ht="20" customHeight="1">
      <c r="A81" t="s" s="16">
        <v>166</v>
      </c>
      <c r="B81" t="s" s="14">
        <v>167</v>
      </c>
      <c r="C81" t="s" s="17">
        <v>8</v>
      </c>
      <c r="D81" s="18">
        <v>45000</v>
      </c>
      <c r="E81" s="15"/>
      <c r="F81" s="15"/>
      <c r="G81" s="15"/>
    </row>
    <row r="82" ht="20" customHeight="1">
      <c r="A82" t="s" s="16">
        <v>168</v>
      </c>
      <c r="B82" t="s" s="14">
        <v>169</v>
      </c>
      <c r="C82" t="s" s="17">
        <v>8</v>
      </c>
      <c r="D82" s="18">
        <v>45000</v>
      </c>
      <c r="E82" s="15"/>
      <c r="F82" s="15"/>
      <c r="G82" s="15"/>
    </row>
    <row r="83" ht="20" customHeight="1">
      <c r="A83" t="s" s="16">
        <v>170</v>
      </c>
      <c r="B83" t="s" s="14">
        <v>171</v>
      </c>
      <c r="C83" t="s" s="17">
        <v>8</v>
      </c>
      <c r="D83" s="18">
        <v>130000</v>
      </c>
      <c r="E83" s="15"/>
      <c r="F83" s="15"/>
      <c r="G83" s="15"/>
    </row>
    <row r="84" ht="20" customHeight="1">
      <c r="A84" t="s" s="16">
        <v>172</v>
      </c>
      <c r="B84" t="s" s="14">
        <v>173</v>
      </c>
      <c r="C84" t="s" s="17">
        <v>8</v>
      </c>
      <c r="D84" s="18">
        <v>130000</v>
      </c>
      <c r="E84" s="15"/>
      <c r="F84" s="15"/>
      <c r="G84" s="15"/>
    </row>
    <row r="85" ht="20" customHeight="1">
      <c r="A85" t="s" s="16">
        <v>174</v>
      </c>
      <c r="B85" t="s" s="14">
        <v>175</v>
      </c>
      <c r="C85" t="s" s="17">
        <v>8</v>
      </c>
      <c r="D85" s="18">
        <v>200000</v>
      </c>
      <c r="E85" s="15"/>
      <c r="F85" s="15"/>
      <c r="G85" s="15"/>
    </row>
    <row r="86" ht="20" customHeight="1">
      <c r="A86" t="s" s="16">
        <v>176</v>
      </c>
      <c r="B86" t="s" s="14">
        <v>177</v>
      </c>
      <c r="C86" t="s" s="17">
        <v>8</v>
      </c>
      <c r="D86" s="18">
        <v>250000</v>
      </c>
      <c r="E86" s="15"/>
      <c r="F86" s="15"/>
      <c r="G86" s="15"/>
    </row>
    <row r="87" ht="20" customHeight="1">
      <c r="A87" t="s" s="16">
        <v>178</v>
      </c>
      <c r="B87" t="s" s="14">
        <v>179</v>
      </c>
      <c r="C87" t="s" s="17">
        <v>8</v>
      </c>
      <c r="D87" s="18">
        <v>45000</v>
      </c>
      <c r="E87" s="15"/>
      <c r="F87" s="15"/>
      <c r="G87" s="15"/>
    </row>
    <row r="88" ht="20" customHeight="1">
      <c r="A88" t="s" s="16">
        <v>180</v>
      </c>
      <c r="B88" t="s" s="14">
        <v>181</v>
      </c>
      <c r="C88" t="s" s="23">
        <v>65</v>
      </c>
      <c r="D88" s="15">
        <v>110000</v>
      </c>
      <c r="E88" s="15"/>
      <c r="F88" s="15"/>
      <c r="G88" s="15"/>
    </row>
    <row r="89" ht="20" customHeight="1">
      <c r="A89" t="s" s="16">
        <v>182</v>
      </c>
      <c r="B89" t="s" s="20">
        <v>183</v>
      </c>
      <c r="C89" t="s" s="23">
        <v>65</v>
      </c>
      <c r="D89" s="15">
        <v>50000</v>
      </c>
      <c r="E89" s="15"/>
      <c r="F89" s="15"/>
      <c r="G89" s="15"/>
    </row>
    <row r="90" ht="20" customHeight="1">
      <c r="A90" t="s" s="8">
        <v>184</v>
      </c>
      <c r="B90" t="s" s="9">
        <v>185</v>
      </c>
      <c r="C90" s="22"/>
      <c r="D90" s="15"/>
      <c r="E90" s="15"/>
      <c r="F90" s="15"/>
      <c r="G90" s="15"/>
    </row>
    <row r="91" ht="20" customHeight="1">
      <c r="A91" t="s" s="16">
        <v>186</v>
      </c>
      <c r="B91" t="s" s="13">
        <v>3</v>
      </c>
      <c r="C91" t="s" s="14">
        <v>4</v>
      </c>
      <c r="D91" t="s" s="14">
        <v>5</v>
      </c>
      <c r="E91" s="15"/>
      <c r="F91" s="15"/>
      <c r="G91" s="15"/>
    </row>
    <row r="92" ht="20" customHeight="1">
      <c r="A92" t="s" s="16">
        <v>187</v>
      </c>
      <c r="B92" t="s" s="14">
        <v>188</v>
      </c>
      <c r="C92" t="s" s="17">
        <v>8</v>
      </c>
      <c r="D92" s="18">
        <v>45000</v>
      </c>
      <c r="E92" s="15"/>
      <c r="F92" s="15"/>
      <c r="G92" s="15"/>
    </row>
    <row r="93" ht="20" customHeight="1">
      <c r="A93" t="s" s="16">
        <v>189</v>
      </c>
      <c r="B93" t="s" s="14">
        <v>190</v>
      </c>
      <c r="C93" t="s" s="17">
        <v>191</v>
      </c>
      <c r="D93" s="18">
        <v>12000</v>
      </c>
      <c r="E93" s="15"/>
      <c r="F93" s="15"/>
      <c r="G93" s="15"/>
    </row>
    <row r="94" ht="20" customHeight="1">
      <c r="A94" t="s" s="16">
        <v>192</v>
      </c>
      <c r="B94" t="s" s="14">
        <v>193</v>
      </c>
      <c r="C94" t="s" s="17">
        <v>191</v>
      </c>
      <c r="D94" s="18">
        <v>45000</v>
      </c>
      <c r="E94" s="15"/>
      <c r="F94" s="15"/>
      <c r="G94" s="15"/>
    </row>
    <row r="95" ht="20" customHeight="1">
      <c r="A95" t="s" s="16">
        <v>194</v>
      </c>
      <c r="B95" t="s" s="14">
        <v>195</v>
      </c>
      <c r="C95" t="s" s="17">
        <v>191</v>
      </c>
      <c r="D95" s="18">
        <v>50000</v>
      </c>
      <c r="E95" s="15"/>
      <c r="F95" s="15"/>
      <c r="G95" s="15"/>
    </row>
    <row r="96" ht="20" customHeight="1">
      <c r="A96" t="s" s="16">
        <v>196</v>
      </c>
      <c r="B96" t="s" s="14">
        <v>197</v>
      </c>
      <c r="C96" t="s" s="17">
        <v>191</v>
      </c>
      <c r="D96" s="18">
        <v>45000</v>
      </c>
      <c r="E96" s="15"/>
      <c r="F96" s="15"/>
      <c r="G96" s="15"/>
    </row>
    <row r="97" ht="20" customHeight="1">
      <c r="A97" t="s" s="16">
        <v>198</v>
      </c>
      <c r="B97" t="s" s="14">
        <v>199</v>
      </c>
      <c r="C97" t="s" s="17">
        <v>127</v>
      </c>
      <c r="D97" s="18">
        <v>55000</v>
      </c>
      <c r="E97" s="15"/>
      <c r="F97" s="15"/>
      <c r="G97" s="15"/>
    </row>
    <row r="98" ht="20" customHeight="1">
      <c r="A98" t="s" s="16">
        <v>200</v>
      </c>
      <c r="B98" t="s" s="14">
        <v>201</v>
      </c>
      <c r="C98" t="s" s="17">
        <v>127</v>
      </c>
      <c r="D98" s="18">
        <v>25000</v>
      </c>
      <c r="E98" s="15"/>
      <c r="F98" s="15"/>
      <c r="G98" s="15"/>
    </row>
    <row r="99" ht="20" customHeight="1">
      <c r="A99" t="s" s="16">
        <v>202</v>
      </c>
      <c r="B99" t="s" s="14">
        <v>203</v>
      </c>
      <c r="C99" t="s" s="17">
        <v>127</v>
      </c>
      <c r="D99" s="18">
        <v>26000</v>
      </c>
      <c r="E99" s="15"/>
      <c r="F99" s="15"/>
      <c r="G99" s="15"/>
    </row>
    <row r="100" ht="20" customHeight="1">
      <c r="A100" t="s" s="16">
        <v>204</v>
      </c>
      <c r="B100" t="s" s="14">
        <v>205</v>
      </c>
      <c r="C100" t="s" s="17">
        <v>127</v>
      </c>
      <c r="D100" s="18">
        <f>55000/2</f>
        <v>27500</v>
      </c>
      <c r="E100" s="15"/>
      <c r="F100" s="15"/>
      <c r="G100" s="15"/>
    </row>
    <row r="101" ht="20" customHeight="1">
      <c r="A101" t="s" s="16">
        <v>206</v>
      </c>
      <c r="B101" t="s" s="14">
        <v>207</v>
      </c>
      <c r="C101" t="s" s="17">
        <v>127</v>
      </c>
      <c r="D101" s="19">
        <v>53</v>
      </c>
      <c r="E101" s="15"/>
      <c r="F101" s="15"/>
      <c r="G101" s="15"/>
    </row>
    <row r="102" ht="20" customHeight="1">
      <c r="A102" t="s" s="16">
        <v>208</v>
      </c>
      <c r="B102" t="s" s="14">
        <v>209</v>
      </c>
      <c r="C102" t="s" s="17">
        <v>127</v>
      </c>
      <c r="D102" s="18">
        <v>69000</v>
      </c>
      <c r="E102" s="15"/>
      <c r="F102" s="15"/>
      <c r="G102" s="15"/>
    </row>
    <row r="103" ht="20" customHeight="1">
      <c r="A103" t="s" s="16">
        <v>210</v>
      </c>
      <c r="B103" t="s" s="14">
        <v>211</v>
      </c>
      <c r="C103" t="s" s="17">
        <v>127</v>
      </c>
      <c r="D103" s="18">
        <v>69000</v>
      </c>
      <c r="E103" s="15"/>
      <c r="F103" s="15"/>
      <c r="G103" s="15"/>
    </row>
    <row r="104" ht="20" customHeight="1">
      <c r="A104" t="s" s="16">
        <v>212</v>
      </c>
      <c r="B104" t="s" s="14">
        <v>213</v>
      </c>
      <c r="C104" t="s" s="17">
        <v>127</v>
      </c>
      <c r="D104" s="18">
        <v>65000</v>
      </c>
      <c r="E104" s="15"/>
      <c r="F104" s="15"/>
      <c r="G104" s="15"/>
    </row>
    <row r="105" ht="20" customHeight="1">
      <c r="A105" t="s" s="16">
        <v>214</v>
      </c>
      <c r="B105" t="s" s="14">
        <v>215</v>
      </c>
      <c r="C105" t="s" s="17">
        <v>18</v>
      </c>
      <c r="D105" s="18">
        <v>39000</v>
      </c>
      <c r="E105" s="15"/>
      <c r="F105" s="15"/>
      <c r="G105" s="15"/>
    </row>
    <row r="106" ht="20" customHeight="1">
      <c r="A106" t="s" s="16">
        <v>216</v>
      </c>
      <c r="B106" t="s" s="14">
        <v>217</v>
      </c>
      <c r="C106" t="s" s="17">
        <v>8</v>
      </c>
      <c r="D106" s="18">
        <v>32000</v>
      </c>
      <c r="E106" s="15"/>
      <c r="F106" s="15"/>
      <c r="G106" s="15"/>
    </row>
    <row r="107" ht="20" customHeight="1">
      <c r="A107" t="s" s="16">
        <v>218</v>
      </c>
      <c r="B107" t="s" s="14">
        <v>219</v>
      </c>
      <c r="C107" t="s" s="17">
        <v>127</v>
      </c>
      <c r="D107" s="18">
        <v>75000</v>
      </c>
      <c r="E107" s="15"/>
      <c r="F107" s="15"/>
      <c r="G107" s="15"/>
    </row>
    <row r="108" ht="20" customHeight="1">
      <c r="A108" t="s" s="16">
        <v>220</v>
      </c>
      <c r="B108" t="s" s="14">
        <v>221</v>
      </c>
      <c r="C108" t="s" s="17">
        <v>8</v>
      </c>
      <c r="D108" s="18">
        <v>48000</v>
      </c>
      <c r="E108" s="15"/>
      <c r="F108" s="15"/>
      <c r="G108" s="15"/>
    </row>
    <row r="109" ht="20" customHeight="1">
      <c r="A109" t="s" s="16">
        <v>222</v>
      </c>
      <c r="B109" t="s" s="14">
        <v>223</v>
      </c>
      <c r="C109" t="s" s="17">
        <v>8</v>
      </c>
      <c r="D109" s="18">
        <v>50000</v>
      </c>
      <c r="E109" s="15"/>
      <c r="F109" s="15"/>
      <c r="G109" s="15"/>
    </row>
    <row r="110" ht="20" customHeight="1">
      <c r="A110" t="s" s="16">
        <v>224</v>
      </c>
      <c r="B110" t="s" s="14">
        <v>225</v>
      </c>
      <c r="C110" t="s" s="17">
        <v>8</v>
      </c>
      <c r="D110" s="18">
        <v>65000</v>
      </c>
      <c r="E110" s="15"/>
      <c r="F110" s="15"/>
      <c r="G110" s="15"/>
    </row>
    <row r="111" ht="20" customHeight="1">
      <c r="A111" t="s" s="16">
        <v>226</v>
      </c>
      <c r="B111" t="s" s="14">
        <v>227</v>
      </c>
      <c r="C111" t="s" s="17">
        <v>8</v>
      </c>
      <c r="D111" s="18">
        <v>35000</v>
      </c>
      <c r="E111" s="15"/>
      <c r="F111" s="15"/>
      <c r="G111" s="15"/>
    </row>
    <row r="112" ht="20" customHeight="1">
      <c r="A112" t="s" s="16">
        <v>228</v>
      </c>
      <c r="B112" t="s" s="14">
        <v>229</v>
      </c>
      <c r="C112" t="s" s="17">
        <v>8</v>
      </c>
      <c r="D112" s="18">
        <v>50000</v>
      </c>
      <c r="E112" s="15"/>
      <c r="F112" s="15"/>
      <c r="G112" s="15"/>
    </row>
    <row r="113" ht="20" customHeight="1">
      <c r="A113" t="s" s="16">
        <v>230</v>
      </c>
      <c r="B113" t="s" s="14">
        <v>231</v>
      </c>
      <c r="C113" t="s" s="17">
        <v>8</v>
      </c>
      <c r="D113" s="18">
        <v>25000</v>
      </c>
      <c r="E113" s="15"/>
      <c r="F113" s="15"/>
      <c r="G113" s="15"/>
    </row>
    <row r="114" ht="20" customHeight="1">
      <c r="A114" t="s" s="16">
        <v>232</v>
      </c>
      <c r="B114" t="s" s="14">
        <v>233</v>
      </c>
      <c r="C114" t="s" s="17">
        <v>8</v>
      </c>
      <c r="D114" s="18">
        <v>112000</v>
      </c>
      <c r="E114" s="15"/>
      <c r="F114" s="15"/>
      <c r="G114" s="15"/>
    </row>
    <row r="115" ht="20" customHeight="1">
      <c r="A115" t="s" s="16">
        <v>234</v>
      </c>
      <c r="B115" t="s" s="14">
        <v>235</v>
      </c>
      <c r="C115" t="s" s="17">
        <v>8</v>
      </c>
      <c r="D115" s="18">
        <v>40000</v>
      </c>
      <c r="E115" s="15"/>
      <c r="F115" s="15"/>
      <c r="G115" s="15"/>
    </row>
    <row r="116" ht="20" customHeight="1">
      <c r="A116" t="s" s="16">
        <v>236</v>
      </c>
      <c r="B116" t="s" s="14">
        <v>237</v>
      </c>
      <c r="C116" t="s" s="17">
        <v>8</v>
      </c>
      <c r="D116" s="18">
        <f>34000/2</f>
        <v>17000</v>
      </c>
      <c r="E116" s="15"/>
      <c r="F116" s="15"/>
      <c r="G116" s="15"/>
    </row>
    <row r="117" ht="20" customHeight="1">
      <c r="A117" t="s" s="16">
        <v>238</v>
      </c>
      <c r="B117" t="s" s="14">
        <v>239</v>
      </c>
      <c r="C117" t="s" s="17">
        <v>8</v>
      </c>
      <c r="D117" s="18">
        <v>18000</v>
      </c>
      <c r="E117" s="15"/>
      <c r="F117" s="15"/>
      <c r="G117" s="15"/>
    </row>
    <row r="118" ht="20" customHeight="1">
      <c r="A118" t="s" s="16">
        <v>240</v>
      </c>
      <c r="B118" t="s" s="14">
        <v>241</v>
      </c>
      <c r="C118" t="s" s="17">
        <v>191</v>
      </c>
      <c r="D118" s="18">
        <v>36000</v>
      </c>
      <c r="E118" s="15"/>
      <c r="F118" s="15"/>
      <c r="G118" s="15"/>
    </row>
    <row r="119" ht="20" customHeight="1">
      <c r="A119" t="s" s="16">
        <v>242</v>
      </c>
      <c r="B119" t="s" s="20">
        <v>243</v>
      </c>
      <c r="C119" t="s" s="17">
        <v>191</v>
      </c>
      <c r="D119" s="18">
        <v>47000</v>
      </c>
      <c r="E119" s="15"/>
      <c r="F119" s="15"/>
      <c r="G119" s="15"/>
    </row>
    <row r="120" ht="20" customHeight="1">
      <c r="A120" t="s" s="8">
        <v>244</v>
      </c>
      <c r="B120" t="s" s="9">
        <v>245</v>
      </c>
      <c r="C120" s="22"/>
      <c r="D120" s="15"/>
      <c r="E120" s="15"/>
      <c r="F120" s="15"/>
      <c r="G120" s="15"/>
    </row>
    <row r="121" ht="20" customHeight="1">
      <c r="A121" t="s" s="16">
        <v>246</v>
      </c>
      <c r="B121" t="s" s="13">
        <v>3</v>
      </c>
      <c r="C121" t="s" s="14">
        <v>4</v>
      </c>
      <c r="D121" t="s" s="14">
        <v>5</v>
      </c>
      <c r="E121" s="15"/>
      <c r="F121" s="15"/>
      <c r="G121" s="15"/>
    </row>
    <row r="122" ht="20" customHeight="1">
      <c r="A122" t="s" s="16">
        <v>247</v>
      </c>
      <c r="B122" t="s" s="14">
        <v>248</v>
      </c>
      <c r="C122" t="s" s="17">
        <v>8</v>
      </c>
      <c r="D122" s="18">
        <v>55000</v>
      </c>
      <c r="E122" s="15"/>
      <c r="F122" s="15"/>
      <c r="G122" s="15"/>
    </row>
    <row r="123" ht="20" customHeight="1">
      <c r="A123" t="s" s="16">
        <v>249</v>
      </c>
      <c r="B123" t="s" s="14">
        <v>250</v>
      </c>
      <c r="C123" t="s" s="17">
        <v>8</v>
      </c>
      <c r="D123" s="18">
        <v>170000</v>
      </c>
      <c r="E123" s="15"/>
      <c r="F123" s="15"/>
      <c r="G123" s="15"/>
    </row>
    <row r="124" ht="20" customHeight="1">
      <c r="A124" t="s" s="16">
        <v>251</v>
      </c>
      <c r="B124" t="s" s="14">
        <v>252</v>
      </c>
      <c r="C124" t="s" s="17">
        <v>18</v>
      </c>
      <c r="D124" s="18">
        <v>53000</v>
      </c>
      <c r="E124" s="15"/>
      <c r="F124" s="15"/>
      <c r="G124" s="15"/>
    </row>
    <row r="125" ht="20" customHeight="1">
      <c r="A125" t="s" s="16">
        <v>253</v>
      </c>
      <c r="B125" t="s" s="14">
        <v>254</v>
      </c>
      <c r="C125" t="s" s="17">
        <v>191</v>
      </c>
      <c r="D125" s="18">
        <v>37000</v>
      </c>
      <c r="E125" s="15"/>
      <c r="F125" s="15"/>
      <c r="G125" s="15"/>
    </row>
    <row r="126" ht="20" customHeight="1">
      <c r="A126" t="s" s="16">
        <v>255</v>
      </c>
      <c r="B126" t="s" s="14">
        <v>256</v>
      </c>
      <c r="C126" t="s" s="17">
        <v>191</v>
      </c>
      <c r="D126" s="18">
        <v>37000</v>
      </c>
      <c r="E126" s="15"/>
      <c r="F126" s="15"/>
      <c r="G126" s="15"/>
    </row>
    <row r="127" ht="20" customHeight="1">
      <c r="A127" t="s" s="16">
        <v>257</v>
      </c>
      <c r="B127" t="s" s="14">
        <v>258</v>
      </c>
      <c r="C127" t="s" s="17">
        <v>191</v>
      </c>
      <c r="D127" s="18">
        <v>89000</v>
      </c>
      <c r="E127" s="15"/>
      <c r="F127" s="15"/>
      <c r="G127" s="15"/>
    </row>
    <row r="128" ht="20" customHeight="1">
      <c r="A128" t="s" s="16">
        <v>259</v>
      </c>
      <c r="B128" t="s" s="20">
        <v>260</v>
      </c>
      <c r="C128" t="s" s="17">
        <v>191</v>
      </c>
      <c r="D128" s="18">
        <v>200000</v>
      </c>
      <c r="E128" s="15"/>
      <c r="F128" s="15"/>
      <c r="G128" s="15"/>
    </row>
    <row r="129" ht="20" customHeight="1">
      <c r="A129" t="s" s="8">
        <v>261</v>
      </c>
      <c r="B129" t="s" s="9">
        <v>262</v>
      </c>
      <c r="C129" s="22"/>
      <c r="D129" s="15"/>
      <c r="E129" s="15"/>
      <c r="F129" s="15"/>
      <c r="G129" s="15"/>
    </row>
    <row r="130" ht="20" customHeight="1">
      <c r="A130" t="s" s="16">
        <v>263</v>
      </c>
      <c r="B130" t="s" s="13">
        <v>3</v>
      </c>
      <c r="C130" t="s" s="14">
        <v>4</v>
      </c>
      <c r="D130" t="s" s="14">
        <v>5</v>
      </c>
      <c r="E130" s="15"/>
      <c r="F130" s="15"/>
      <c r="G130" s="15"/>
    </row>
    <row r="131" ht="20" customHeight="1">
      <c r="A131" t="s" s="16">
        <v>264</v>
      </c>
      <c r="B131" t="s" s="14">
        <v>265</v>
      </c>
      <c r="C131" t="s" s="17">
        <v>8</v>
      </c>
      <c r="D131" s="18">
        <v>35000</v>
      </c>
      <c r="E131" s="15"/>
      <c r="F131" s="15"/>
      <c r="G131" s="15"/>
    </row>
    <row r="132" ht="20" customHeight="1">
      <c r="A132" t="s" s="16">
        <v>266</v>
      </c>
      <c r="B132" t="s" s="14">
        <v>267</v>
      </c>
      <c r="C132" t="s" s="17">
        <v>8</v>
      </c>
      <c r="D132" s="18">
        <v>18000</v>
      </c>
      <c r="E132" s="15"/>
      <c r="F132" s="15"/>
      <c r="G132" s="15"/>
    </row>
    <row r="133" ht="20" customHeight="1">
      <c r="A133" t="s" s="16">
        <v>268</v>
      </c>
      <c r="B133" t="s" s="14">
        <v>269</v>
      </c>
      <c r="C133" t="s" s="17">
        <v>8</v>
      </c>
      <c r="D133" s="18">
        <v>15000</v>
      </c>
      <c r="E133" s="15"/>
      <c r="F133" s="15"/>
      <c r="G133" s="15"/>
    </row>
    <row r="134" ht="20" customHeight="1">
      <c r="A134" t="s" s="16">
        <v>270</v>
      </c>
      <c r="B134" t="s" s="14">
        <v>271</v>
      </c>
      <c r="C134" t="s" s="17">
        <v>8</v>
      </c>
      <c r="D134" s="18">
        <v>25000</v>
      </c>
      <c r="E134" s="15"/>
      <c r="F134" s="15"/>
      <c r="G134" s="15"/>
    </row>
    <row r="135" ht="20" customHeight="1">
      <c r="A135" t="s" s="16">
        <v>272</v>
      </c>
      <c r="B135" t="s" s="14">
        <v>273</v>
      </c>
      <c r="C135" t="s" s="17">
        <v>8</v>
      </c>
      <c r="D135" s="18">
        <v>32000</v>
      </c>
      <c r="E135" s="15"/>
      <c r="F135" s="15"/>
      <c r="G135" s="15"/>
    </row>
    <row r="136" ht="20" customHeight="1">
      <c r="A136" t="s" s="16">
        <v>274</v>
      </c>
      <c r="B136" t="s" s="14">
        <v>275</v>
      </c>
      <c r="C136" t="s" s="17">
        <v>8</v>
      </c>
      <c r="D136" s="18">
        <f>130000/5</f>
        <v>26000</v>
      </c>
      <c r="E136" s="15"/>
      <c r="F136" s="15"/>
      <c r="G136" s="15"/>
    </row>
    <row r="137" ht="20" customHeight="1">
      <c r="A137" t="s" s="16">
        <v>276</v>
      </c>
      <c r="B137" t="s" s="14">
        <v>277</v>
      </c>
      <c r="C137" t="s" s="17">
        <v>8</v>
      </c>
      <c r="D137" s="18">
        <v>20000</v>
      </c>
      <c r="E137" s="15"/>
      <c r="F137" s="15"/>
      <c r="G137" s="15"/>
    </row>
    <row r="138" ht="20" customHeight="1">
      <c r="A138" t="s" s="16">
        <v>278</v>
      </c>
      <c r="B138" t="s" s="14">
        <v>279</v>
      </c>
      <c r="C138" t="s" s="17">
        <v>8</v>
      </c>
      <c r="D138" s="18">
        <v>35000</v>
      </c>
      <c r="E138" s="15"/>
      <c r="F138" s="15"/>
      <c r="G138" s="15"/>
    </row>
    <row r="139" ht="20" customHeight="1">
      <c r="A139" t="s" s="16">
        <v>280</v>
      </c>
      <c r="B139" t="s" s="14">
        <v>281</v>
      </c>
      <c r="C139" t="s" s="17">
        <v>8</v>
      </c>
      <c r="D139" s="18">
        <v>50000</v>
      </c>
      <c r="E139" s="15"/>
      <c r="F139" s="15"/>
      <c r="G139" s="15"/>
    </row>
    <row r="140" ht="20" customHeight="1">
      <c r="A140" t="s" s="16">
        <v>282</v>
      </c>
      <c r="B140" t="s" s="14">
        <v>283</v>
      </c>
      <c r="C140" t="s" s="17">
        <v>8</v>
      </c>
      <c r="D140" s="18">
        <v>30000</v>
      </c>
      <c r="E140" s="15"/>
      <c r="F140" s="15"/>
      <c r="G140" s="15"/>
    </row>
    <row r="141" ht="20" customHeight="1">
      <c r="A141" t="s" s="16">
        <v>284</v>
      </c>
      <c r="B141" t="s" s="14">
        <v>285</v>
      </c>
      <c r="C141" t="s" s="17">
        <v>8</v>
      </c>
      <c r="D141" s="18">
        <v>50000</v>
      </c>
      <c r="E141" s="15"/>
      <c r="F141" s="15"/>
      <c r="G141" s="15"/>
    </row>
    <row r="142" ht="20" customHeight="1">
      <c r="A142" t="s" s="16">
        <v>286</v>
      </c>
      <c r="B142" t="s" s="14">
        <v>287</v>
      </c>
      <c r="C142" t="s" s="17">
        <v>8</v>
      </c>
      <c r="D142" s="18">
        <v>55000</v>
      </c>
      <c r="E142" s="15"/>
      <c r="F142" s="15"/>
      <c r="G142" s="15"/>
    </row>
    <row r="143" ht="20" customHeight="1">
      <c r="A143" t="s" s="16">
        <v>288</v>
      </c>
      <c r="B143" t="s" s="14">
        <v>289</v>
      </c>
      <c r="C143" t="s" s="17">
        <v>8</v>
      </c>
      <c r="D143" s="18">
        <v>55000</v>
      </c>
      <c r="E143" s="15"/>
      <c r="F143" s="15"/>
      <c r="G143" s="15"/>
    </row>
    <row r="144" ht="20" customHeight="1">
      <c r="A144" t="s" s="16">
        <v>290</v>
      </c>
      <c r="B144" t="s" s="14">
        <v>291</v>
      </c>
      <c r="C144" t="s" s="17">
        <v>292</v>
      </c>
      <c r="D144" s="18">
        <v>85000</v>
      </c>
      <c r="E144" s="15"/>
      <c r="F144" s="15"/>
      <c r="G144" s="15"/>
    </row>
    <row r="145" ht="20" customHeight="1">
      <c r="A145" t="s" s="16">
        <v>293</v>
      </c>
      <c r="B145" t="s" s="14">
        <v>294</v>
      </c>
      <c r="C145" t="s" s="17">
        <v>292</v>
      </c>
      <c r="D145" s="18">
        <v>65000</v>
      </c>
      <c r="E145" s="15"/>
      <c r="F145" s="15"/>
      <c r="G145" s="15"/>
    </row>
    <row r="146" ht="20" customHeight="1">
      <c r="A146" t="s" s="16">
        <v>295</v>
      </c>
      <c r="B146" t="s" s="14">
        <v>296</v>
      </c>
      <c r="C146" t="s" s="17">
        <v>297</v>
      </c>
      <c r="D146" s="18">
        <v>106500</v>
      </c>
      <c r="E146" s="15"/>
      <c r="F146" s="15"/>
      <c r="G146" s="15"/>
    </row>
    <row r="147" ht="20" customHeight="1">
      <c r="A147" t="s" s="16">
        <v>298</v>
      </c>
      <c r="B147" t="s" s="14">
        <v>299</v>
      </c>
      <c r="C147" t="s" s="17">
        <v>8</v>
      </c>
      <c r="D147" s="18">
        <v>130000</v>
      </c>
      <c r="E147" s="15"/>
      <c r="F147" s="15"/>
      <c r="G147" s="15"/>
    </row>
    <row r="148" ht="20" customHeight="1">
      <c r="A148" t="s" s="16">
        <v>300</v>
      </c>
      <c r="B148" t="s" s="14">
        <v>301</v>
      </c>
      <c r="C148" t="s" s="17">
        <v>8</v>
      </c>
      <c r="D148" s="18">
        <v>184000</v>
      </c>
      <c r="E148" s="15"/>
      <c r="F148" s="15"/>
      <c r="G148" s="15"/>
    </row>
    <row r="149" ht="20" customHeight="1">
      <c r="A149" t="s" s="16">
        <v>302</v>
      </c>
      <c r="B149" t="s" s="14">
        <v>303</v>
      </c>
      <c r="C149" t="s" s="17">
        <v>304</v>
      </c>
      <c r="D149" s="18">
        <v>46000</v>
      </c>
      <c r="E149" s="15"/>
      <c r="F149" s="15"/>
      <c r="G149" s="15"/>
    </row>
    <row r="150" ht="20" customHeight="1">
      <c r="A150" t="s" s="16">
        <v>305</v>
      </c>
      <c r="B150" t="s" s="14">
        <v>306</v>
      </c>
      <c r="C150" t="s" s="17">
        <v>304</v>
      </c>
      <c r="D150" s="18">
        <v>55000</v>
      </c>
      <c r="E150" s="15"/>
      <c r="F150" s="15"/>
      <c r="G150" s="15"/>
    </row>
    <row r="151" ht="20" customHeight="1">
      <c r="A151" t="s" s="16">
        <v>307</v>
      </c>
      <c r="B151" t="s" s="14">
        <v>308</v>
      </c>
      <c r="C151" t="s" s="17">
        <v>304</v>
      </c>
      <c r="D151" s="18">
        <v>165000</v>
      </c>
      <c r="E151" s="15"/>
      <c r="F151" s="15"/>
      <c r="G151" s="15"/>
    </row>
    <row r="152" ht="20" customHeight="1">
      <c r="A152" t="s" s="16">
        <v>309</v>
      </c>
      <c r="B152" t="s" s="14">
        <v>310</v>
      </c>
      <c r="C152" t="s" s="17">
        <v>115</v>
      </c>
      <c r="D152" s="18">
        <v>66000</v>
      </c>
      <c r="E152" s="15"/>
      <c r="F152" s="15"/>
      <c r="G152" s="15"/>
    </row>
    <row r="153" ht="20" customHeight="1">
      <c r="A153" t="s" s="16">
        <v>311</v>
      </c>
      <c r="B153" t="s" s="14">
        <v>312</v>
      </c>
      <c r="C153" t="s" s="17">
        <v>115</v>
      </c>
      <c r="D153" s="18">
        <v>93000</v>
      </c>
      <c r="E153" s="15"/>
      <c r="F153" s="15"/>
      <c r="G153" s="15"/>
    </row>
    <row r="154" ht="20" customHeight="1">
      <c r="A154" t="s" s="16">
        <v>313</v>
      </c>
      <c r="B154" t="s" s="14">
        <v>314</v>
      </c>
      <c r="C154" t="s" s="17">
        <v>115</v>
      </c>
      <c r="D154" s="18">
        <v>93000</v>
      </c>
      <c r="E154" s="15"/>
      <c r="F154" s="15"/>
      <c r="G154" s="15"/>
    </row>
    <row r="155" ht="20" customHeight="1">
      <c r="A155" t="s" s="16">
        <v>315</v>
      </c>
      <c r="B155" t="s" s="14">
        <v>316</v>
      </c>
      <c r="C155" t="s" s="17">
        <v>27</v>
      </c>
      <c r="D155" s="18">
        <v>39000</v>
      </c>
      <c r="E155" s="15"/>
      <c r="F155" s="15"/>
      <c r="G155" s="15"/>
    </row>
    <row r="156" ht="20" customHeight="1">
      <c r="A156" t="s" s="16">
        <v>317</v>
      </c>
      <c r="B156" t="s" s="14">
        <v>318</v>
      </c>
      <c r="C156" t="s" s="17">
        <v>27</v>
      </c>
      <c r="D156" s="18">
        <v>35000</v>
      </c>
      <c r="E156" s="15"/>
      <c r="F156" s="15"/>
      <c r="G156" s="15"/>
    </row>
    <row r="157" ht="20" customHeight="1">
      <c r="A157" t="s" s="16">
        <v>319</v>
      </c>
      <c r="B157" t="s" s="14">
        <v>320</v>
      </c>
      <c r="C157" t="s" s="17">
        <v>8</v>
      </c>
      <c r="D157" s="18">
        <v>55000</v>
      </c>
      <c r="E157" s="15"/>
      <c r="F157" s="15"/>
      <c r="G157" s="15"/>
    </row>
    <row r="158" ht="20" customHeight="1">
      <c r="A158" t="s" s="16">
        <v>321</v>
      </c>
      <c r="B158" t="s" s="14">
        <v>322</v>
      </c>
      <c r="C158" t="s" s="17">
        <v>8</v>
      </c>
      <c r="D158" s="18">
        <v>29000</v>
      </c>
      <c r="E158" s="15"/>
      <c r="F158" s="15"/>
      <c r="G158" s="15"/>
    </row>
    <row r="159" ht="20" customHeight="1">
      <c r="A159" t="s" s="16">
        <v>323</v>
      </c>
      <c r="B159" t="s" s="14">
        <v>324</v>
      </c>
      <c r="C159" t="s" s="17">
        <v>27</v>
      </c>
      <c r="D159" s="18">
        <v>30000</v>
      </c>
      <c r="E159" s="15"/>
      <c r="F159" s="15"/>
      <c r="G159" s="15"/>
    </row>
    <row r="160" ht="20" customHeight="1">
      <c r="A160" t="s" s="16">
        <v>325</v>
      </c>
      <c r="B160" t="s" s="14">
        <v>326</v>
      </c>
      <c r="C160" t="s" s="17">
        <v>304</v>
      </c>
      <c r="D160" s="18">
        <v>22000</v>
      </c>
      <c r="E160" s="15"/>
      <c r="F160" s="15"/>
      <c r="G160" s="15"/>
    </row>
    <row r="161" ht="20" customHeight="1">
      <c r="A161" s="24"/>
      <c r="B161" s="18"/>
      <c r="C161" s="18"/>
      <c r="D161" s="18"/>
      <c r="E161" s="15"/>
      <c r="F161" s="15"/>
      <c r="G161" s="15"/>
    </row>
    <row r="162" ht="19.55" customHeight="1">
      <c r="A162" s="24"/>
      <c r="B162" s="25"/>
      <c r="C162" s="26"/>
      <c r="D162" s="25"/>
      <c r="E162" s="25"/>
      <c r="F162" s="25"/>
      <c r="G162" s="25"/>
    </row>
    <row r="163" ht="13.65" customHeight="1">
      <c r="A163" s="27"/>
      <c r="B163" s="25"/>
      <c r="C163" s="26"/>
      <c r="D163" s="25"/>
      <c r="E163" s="25"/>
      <c r="F163" s="25"/>
      <c r="G163" s="25"/>
    </row>
    <row r="164" ht="13.65" customHeight="1">
      <c r="A164" s="27"/>
      <c r="B164" s="25"/>
      <c r="C164" s="26"/>
      <c r="D164" s="25"/>
      <c r="E164" s="25"/>
      <c r="F164" s="25"/>
      <c r="G164" s="25"/>
    </row>
    <row r="165" ht="13.65" customHeight="1">
      <c r="A165" s="27"/>
      <c r="B165" s="25"/>
      <c r="C165" s="26"/>
      <c r="D165" s="25"/>
      <c r="E165" s="25"/>
      <c r="F165" s="25"/>
      <c r="G165" s="25"/>
    </row>
    <row r="166" ht="13.65" customHeight="1">
      <c r="A166" s="27"/>
      <c r="B166" s="25"/>
      <c r="C166" s="26"/>
      <c r="D166" s="25"/>
      <c r="E166" s="25"/>
      <c r="F166" s="25"/>
      <c r="G166" s="25"/>
    </row>
    <row r="167" ht="13.65" customHeight="1">
      <c r="A167" s="27"/>
      <c r="B167" s="25"/>
      <c r="C167" s="26"/>
      <c r="D167" s="25"/>
      <c r="E167" s="25"/>
      <c r="F167" s="25"/>
      <c r="G167" s="25"/>
    </row>
    <row r="168" ht="13.65" customHeight="1">
      <c r="A168" s="27"/>
      <c r="B168" s="25"/>
      <c r="C168" s="26"/>
      <c r="D168" s="25"/>
      <c r="E168" s="25"/>
      <c r="F168" s="25"/>
      <c r="G168" s="25"/>
    </row>
    <row r="169" ht="13.65" customHeight="1">
      <c r="A169" s="27"/>
      <c r="B169" s="25"/>
      <c r="C169" s="26"/>
      <c r="D169" s="25"/>
      <c r="E169" s="25"/>
      <c r="F169" s="25"/>
      <c r="G169" s="25"/>
    </row>
    <row r="170" ht="13.65" customHeight="1">
      <c r="A170" s="27"/>
      <c r="B170" s="25"/>
      <c r="C170" s="26"/>
      <c r="D170" s="25"/>
      <c r="E170" s="25"/>
      <c r="F170" s="25"/>
      <c r="G170" s="25"/>
    </row>
    <row r="171" ht="13.65" customHeight="1">
      <c r="A171" s="27"/>
      <c r="B171" s="25"/>
      <c r="C171" s="26"/>
      <c r="D171" s="25"/>
      <c r="E171" s="25"/>
      <c r="F171" s="25"/>
      <c r="G171" s="25"/>
    </row>
    <row r="172" ht="13.65" customHeight="1">
      <c r="A172" s="27"/>
      <c r="B172" s="25"/>
      <c r="C172" s="26"/>
      <c r="D172" s="25"/>
      <c r="E172" s="25"/>
      <c r="F172" s="25"/>
      <c r="G172" s="25"/>
    </row>
    <row r="173" ht="13.65" customHeight="1">
      <c r="A173" s="27"/>
      <c r="B173" s="25"/>
      <c r="C173" s="26"/>
      <c r="D173" s="25"/>
      <c r="E173" s="25"/>
      <c r="F173" s="25"/>
      <c r="G173" s="25"/>
    </row>
    <row r="174" ht="13.65" customHeight="1">
      <c r="A174" s="27"/>
      <c r="B174" s="25"/>
      <c r="C174" s="26"/>
      <c r="D174" s="25"/>
      <c r="E174" s="25"/>
      <c r="F174" s="25"/>
      <c r="G174" s="25"/>
    </row>
    <row r="175" ht="13.65" customHeight="1">
      <c r="A175" s="27"/>
      <c r="B175" s="25"/>
      <c r="C175" s="26"/>
      <c r="D175" s="25"/>
      <c r="E175" s="25"/>
      <c r="F175" s="25"/>
      <c r="G175" s="25"/>
    </row>
    <row r="176" ht="13.65" customHeight="1">
      <c r="A176" s="27"/>
      <c r="B176" s="25"/>
      <c r="C176" s="26"/>
      <c r="D176" s="25"/>
      <c r="E176" s="25"/>
      <c r="F176" s="25"/>
      <c r="G176" s="25"/>
    </row>
    <row r="177" ht="13.65" customHeight="1">
      <c r="A177" s="27"/>
      <c r="B177" s="25"/>
      <c r="C177" s="26"/>
      <c r="D177" s="25"/>
      <c r="E177" s="25"/>
      <c r="F177" s="25"/>
      <c r="G177" s="25"/>
    </row>
    <row r="178" ht="13.65" customHeight="1">
      <c r="A178" s="27"/>
      <c r="B178" s="25"/>
      <c r="C178" s="26"/>
      <c r="D178" s="25"/>
      <c r="E178" s="25"/>
      <c r="F178" s="25"/>
      <c r="G178" s="25"/>
    </row>
    <row r="179" ht="13.65" customHeight="1">
      <c r="A179" s="27"/>
      <c r="B179" s="25"/>
      <c r="C179" s="26"/>
      <c r="D179" s="25"/>
      <c r="E179" s="25"/>
      <c r="F179" s="25"/>
      <c r="G179" s="25"/>
    </row>
    <row r="180" ht="13.65" customHeight="1">
      <c r="A180" s="27"/>
      <c r="B180" s="25"/>
      <c r="C180" s="26"/>
      <c r="D180" s="25"/>
      <c r="E180" s="25"/>
      <c r="F180" s="25"/>
      <c r="G180" s="2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